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D1D7CC1-3D47-40FC-B373-AD09DD12D6FC}" xr6:coauthVersionLast="47" xr6:coauthVersionMax="47" xr10:uidLastSave="{00000000-0000-0000-0000-000000000000}"/>
  <bookViews>
    <workbookView xWindow="-108" yWindow="-108" windowWidth="23256" windowHeight="12456" tabRatio="786" activeTab="5" xr2:uid="{4BAB3383-5C50-423B-BBFC-020CD143F19C}"/>
  </bookViews>
  <sheets>
    <sheet name="SERVICE _AVAILABILITY" sheetId="1" r:id="rId1"/>
    <sheet name="ASSURANCE_GUARANTEE" sheetId="2" r:id="rId2"/>
    <sheet name="TTR_3H_D,V" sheetId="3" r:id="rId3"/>
    <sheet name="TTR_6H_P" sheetId="4" r:id="rId4"/>
    <sheet name="TTR_36H_NON_HVC" sheetId="5" r:id="rId5"/>
    <sheet name="TTR_3H_MANJA" sheetId="6" r:id="rId6"/>
  </sheets>
  <definedNames>
    <definedName name="_xlnm._FilterDatabase" localSheetId="0" hidden="1">'SERVICE _AVAILABILITY'!$C$2:$Q$2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6" l="1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3" i="6"/>
  <c r="P3" i="6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3" i="5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Q3" i="4"/>
  <c r="P3" i="4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3" i="3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Q3" i="2"/>
  <c r="P3" i="2"/>
  <c r="Q30" i="1"/>
  <c r="Q5" i="1"/>
  <c r="Q6" i="1"/>
  <c r="Q9" i="1"/>
  <c r="Q31" i="1"/>
  <c r="Q32" i="1"/>
  <c r="Q22" i="1"/>
  <c r="Q33" i="1"/>
  <c r="Q34" i="1"/>
  <c r="Q7" i="1"/>
  <c r="Q35" i="1"/>
  <c r="Q36" i="1"/>
  <c r="Q37" i="1"/>
  <c r="Q13" i="1"/>
  <c r="Q38" i="1"/>
  <c r="Q39" i="1"/>
  <c r="Q40" i="1"/>
  <c r="Q41" i="1"/>
  <c r="Q42" i="1"/>
  <c r="Q43" i="1"/>
  <c r="Q8" i="1"/>
  <c r="Q44" i="1"/>
  <c r="Q45" i="1"/>
  <c r="Q46" i="1"/>
  <c r="Q14" i="1"/>
  <c r="Q47" i="1"/>
  <c r="Q23" i="1"/>
  <c r="Q24" i="1"/>
  <c r="Q48" i="1"/>
  <c r="Q25" i="1"/>
  <c r="Q49" i="1"/>
  <c r="Q50" i="1"/>
  <c r="Q15" i="1"/>
  <c r="Q16" i="1"/>
  <c r="Q26" i="1"/>
  <c r="Q51" i="1"/>
  <c r="Q52" i="1"/>
  <c r="Q53" i="1"/>
  <c r="Q27" i="1"/>
  <c r="Q10" i="1"/>
  <c r="Q54" i="1"/>
  <c r="Q55" i="1"/>
  <c r="Q56" i="1"/>
  <c r="Q57" i="1"/>
  <c r="Q58" i="1"/>
  <c r="Q59" i="1"/>
  <c r="Q60" i="1"/>
  <c r="Q11" i="1"/>
  <c r="Q61" i="1"/>
  <c r="Q62" i="1"/>
  <c r="Q4" i="1"/>
  <c r="Q28" i="1"/>
  <c r="Q63" i="1"/>
  <c r="Q64" i="1"/>
  <c r="Q17" i="1"/>
  <c r="Q65" i="1"/>
  <c r="Q18" i="1"/>
  <c r="Q66" i="1"/>
  <c r="Q67" i="1"/>
  <c r="Q68" i="1"/>
  <c r="Q69" i="1"/>
  <c r="Q70" i="1"/>
  <c r="Q71" i="1"/>
  <c r="Q3" i="1"/>
  <c r="Q19" i="1"/>
  <c r="Q72" i="1"/>
  <c r="Q73" i="1"/>
  <c r="Q12" i="1"/>
  <c r="Q74" i="1"/>
  <c r="Q75" i="1"/>
  <c r="Q76" i="1"/>
  <c r="Q20" i="1"/>
  <c r="Q77" i="1"/>
  <c r="Q78" i="1"/>
  <c r="Q79" i="1"/>
  <c r="Q80" i="1"/>
  <c r="Q81" i="1"/>
  <c r="Q82" i="1"/>
  <c r="Q21" i="1"/>
  <c r="Q83" i="1"/>
  <c r="Q84" i="1"/>
  <c r="Q85" i="1"/>
  <c r="Q29" i="1"/>
  <c r="P30" i="1"/>
  <c r="P5" i="1"/>
  <c r="P6" i="1"/>
  <c r="P9" i="1"/>
  <c r="P31" i="1"/>
  <c r="P32" i="1"/>
  <c r="P22" i="1"/>
  <c r="P33" i="1"/>
  <c r="P34" i="1"/>
  <c r="P7" i="1"/>
  <c r="P35" i="1"/>
  <c r="P36" i="1"/>
  <c r="P37" i="1"/>
  <c r="P13" i="1"/>
  <c r="P38" i="1"/>
  <c r="P39" i="1"/>
  <c r="P40" i="1"/>
  <c r="P41" i="1"/>
  <c r="P42" i="1"/>
  <c r="P43" i="1"/>
  <c r="P8" i="1"/>
  <c r="P44" i="1"/>
  <c r="P45" i="1"/>
  <c r="P46" i="1"/>
  <c r="P14" i="1"/>
  <c r="P47" i="1"/>
  <c r="P23" i="1"/>
  <c r="P24" i="1"/>
  <c r="P48" i="1"/>
  <c r="P25" i="1"/>
  <c r="P49" i="1"/>
  <c r="P50" i="1"/>
  <c r="P15" i="1"/>
  <c r="P16" i="1"/>
  <c r="P26" i="1"/>
  <c r="P51" i="1"/>
  <c r="P52" i="1"/>
  <c r="P53" i="1"/>
  <c r="P27" i="1"/>
  <c r="P10" i="1"/>
  <c r="P54" i="1"/>
  <c r="P55" i="1"/>
  <c r="P56" i="1"/>
  <c r="P57" i="1"/>
  <c r="P58" i="1"/>
  <c r="P59" i="1"/>
  <c r="P60" i="1"/>
  <c r="P11" i="1"/>
  <c r="P61" i="1"/>
  <c r="P62" i="1"/>
  <c r="P4" i="1"/>
  <c r="P28" i="1"/>
  <c r="P63" i="1"/>
  <c r="P64" i="1"/>
  <c r="P17" i="1"/>
  <c r="P65" i="1"/>
  <c r="P18" i="1"/>
  <c r="P66" i="1"/>
  <c r="P67" i="1"/>
  <c r="P68" i="1"/>
  <c r="P69" i="1"/>
  <c r="P70" i="1"/>
  <c r="P71" i="1"/>
  <c r="P3" i="1"/>
  <c r="P19" i="1"/>
  <c r="P72" i="1"/>
  <c r="P73" i="1"/>
  <c r="P12" i="1"/>
  <c r="P74" i="1"/>
  <c r="P75" i="1"/>
  <c r="P76" i="1"/>
  <c r="P20" i="1"/>
  <c r="P77" i="1"/>
  <c r="P78" i="1"/>
  <c r="P79" i="1"/>
  <c r="P80" i="1"/>
  <c r="P81" i="1"/>
  <c r="P82" i="1"/>
  <c r="P21" i="1"/>
  <c r="P83" i="1"/>
  <c r="P84" i="1"/>
  <c r="P85" i="1"/>
  <c r="P29" i="1"/>
</calcChain>
</file>

<file path=xl/sharedStrings.xml><?xml version="1.0" encoding="utf-8"?>
<sst xmlns="http://schemas.openxmlformats.org/spreadsheetml/2006/main" count="1268" uniqueCount="107">
  <si>
    <t>BBL</t>
  </si>
  <si>
    <t>BEK</t>
  </si>
  <si>
    <t>BGG</t>
  </si>
  <si>
    <t>BGL</t>
  </si>
  <si>
    <t>BJD</t>
  </si>
  <si>
    <t>BOO</t>
  </si>
  <si>
    <t>CAU</t>
  </si>
  <si>
    <t>CBB</t>
  </si>
  <si>
    <t>CBD</t>
  </si>
  <si>
    <t>CBG</t>
  </si>
  <si>
    <t>CBI</t>
  </si>
  <si>
    <t>CBR</t>
  </si>
  <si>
    <t>CBU</t>
  </si>
  <si>
    <t>CCR</t>
  </si>
  <si>
    <t>CGD</t>
  </si>
  <si>
    <t>CIB</t>
  </si>
  <si>
    <t>CIK</t>
  </si>
  <si>
    <t>CJU</t>
  </si>
  <si>
    <t>CKB</t>
  </si>
  <si>
    <t>CKP</t>
  </si>
  <si>
    <t>CLM</t>
  </si>
  <si>
    <t>CLS</t>
  </si>
  <si>
    <t>CMO</t>
  </si>
  <si>
    <t>CNE</t>
  </si>
  <si>
    <t>CPL</t>
  </si>
  <si>
    <t>CPS</t>
  </si>
  <si>
    <t>CRI</t>
  </si>
  <si>
    <t>CSE</t>
  </si>
  <si>
    <t>CSL</t>
  </si>
  <si>
    <t>CSN</t>
  </si>
  <si>
    <t>CSR</t>
  </si>
  <si>
    <t>CTR</t>
  </si>
  <si>
    <t>CWI</t>
  </si>
  <si>
    <t>CYI</t>
  </si>
  <si>
    <t>NA</t>
  </si>
  <si>
    <t>DEP</t>
  </si>
  <si>
    <t>DMG</t>
  </si>
  <si>
    <t>DNI</t>
  </si>
  <si>
    <t>EJI</t>
  </si>
  <si>
    <t>GPI</t>
  </si>
  <si>
    <t>JBB</t>
  </si>
  <si>
    <t>JGL</t>
  </si>
  <si>
    <t>JPK</t>
  </si>
  <si>
    <t>JSA</t>
  </si>
  <si>
    <t>JTS</t>
  </si>
  <si>
    <t>KHL</t>
  </si>
  <si>
    <t>KLB</t>
  </si>
  <si>
    <t>KLI</t>
  </si>
  <si>
    <t>KLU</t>
  </si>
  <si>
    <t>KRA</t>
  </si>
  <si>
    <t>KRL</t>
  </si>
  <si>
    <t>KRW</t>
  </si>
  <si>
    <t>LBI</t>
  </si>
  <si>
    <t>LMA</t>
  </si>
  <si>
    <t>LWL</t>
  </si>
  <si>
    <t>MGB</t>
  </si>
  <si>
    <t>NLD</t>
  </si>
  <si>
    <t>PAG</t>
  </si>
  <si>
    <t>PAR</t>
  </si>
  <si>
    <t>PBY</t>
  </si>
  <si>
    <t>PCM</t>
  </si>
  <si>
    <t>PDE</t>
  </si>
  <si>
    <t>PKY</t>
  </si>
  <si>
    <t>PLD</t>
  </si>
  <si>
    <t>PLR</t>
  </si>
  <si>
    <t>PMU</t>
  </si>
  <si>
    <t>PPG</t>
  </si>
  <si>
    <t>PWK</t>
  </si>
  <si>
    <t>RDK</t>
  </si>
  <si>
    <t>RMP</t>
  </si>
  <si>
    <t>SGN</t>
  </si>
  <si>
    <t>SKB</t>
  </si>
  <si>
    <t>SKJ</t>
  </si>
  <si>
    <t>SMH</t>
  </si>
  <si>
    <t>SPL</t>
  </si>
  <si>
    <t>STL</t>
  </si>
  <si>
    <t>STN</t>
  </si>
  <si>
    <t>SUE</t>
  </si>
  <si>
    <t>TAR</t>
  </si>
  <si>
    <t>TBL</t>
  </si>
  <si>
    <t>TJH</t>
  </si>
  <si>
    <t>TJO</t>
  </si>
  <si>
    <t>TLJ</t>
  </si>
  <si>
    <t>WDS</t>
  </si>
  <si>
    <t>TOTAL</t>
  </si>
  <si>
    <t>Jan '26</t>
  </si>
  <si>
    <t>Feb '26</t>
  </si>
  <si>
    <t>Mar '26</t>
  </si>
  <si>
    <t>Apr '26</t>
  </si>
  <si>
    <t>May '26</t>
  </si>
  <si>
    <t>Jun '26</t>
  </si>
  <si>
    <t>Jul '26</t>
  </si>
  <si>
    <t>Aug '26</t>
  </si>
  <si>
    <t>Sep '26</t>
  </si>
  <si>
    <t>Oct '26</t>
  </si>
  <si>
    <t>Nov '26</t>
  </si>
  <si>
    <t>Dec '26</t>
  </si>
  <si>
    <t>AVG</t>
  </si>
  <si>
    <t>-</t>
  </si>
  <si>
    <t>Service Availability (%)</t>
  </si>
  <si>
    <t>Assurance Guarantee (%)</t>
  </si>
  <si>
    <t>TTR 3H D,V</t>
  </si>
  <si>
    <t>TTR 6H P</t>
  </si>
  <si>
    <t>TTR 36H NON HVC</t>
  </si>
  <si>
    <t>TTR 3H MANJA</t>
  </si>
  <si>
    <t>ACH</t>
  </si>
  <si>
    <t>Not 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</si>
</sst>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AD48-3807-41BF-AD9C-FE15D4ABD59E}">
  <sheetPr>
    <tabColor rgb="FFFFC000"/>
  </sheetPr>
  <dimension ref="A1:Q346"/>
  <sheetViews>
    <sheetView zoomScaleNormal="100" workbookViewId="0">
      <selection activeCell="R223" sqref="R223"/>
    </sheetView>
  </sheetViews>
  <sheetFormatPr defaultRowHeight="14.4" x14ac:dyDescent="0.3"/>
  <cols>
    <col min="7" max="7" width="10.5546875" customWidth="1"/>
    <col min="11" max="14" width="0" hidden="1" customWidth="1"/>
  </cols>
  <sheetData>
    <row r="1" spans="1:17" x14ac:dyDescent="0.3">
      <c r="A1" t="s">
        <v>99</v>
      </c>
    </row>
    <row r="2" spans="1:17" x14ac:dyDescent="0.3"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105</v>
      </c>
      <c r="Q2" t="s">
        <v>106</v>
      </c>
    </row>
    <row r="3" spans="1:17" x14ac:dyDescent="0.3">
      <c r="B3" t="s">
        <v>0</v>
      </c>
      <c r="C3">
        <v>98.44</v>
      </c>
      <c r="D3">
        <v>98.42</v>
      </c>
      <c r="E3">
        <v>98.42</v>
      </c>
      <c r="F3">
        <v>97.62</v>
      </c>
      <c r="G3">
        <v>94.28</v>
      </c>
      <c r="H3">
        <v>96.98</v>
      </c>
      <c r="I3">
        <v>92.5</v>
      </c>
      <c r="J3">
        <v>92.55</v>
      </c>
      <c r="K3" t="s">
        <v>98</v>
      </c>
      <c r="L3" t="s">
        <v>98</v>
      </c>
      <c r="M3" t="s">
        <v>98</v>
      </c>
      <c r="N3" t="s">
        <v>98</v>
      </c>
      <c r="O3">
        <v>96.13</v>
      </c>
      <c r="P3">
        <f t="shared" ref="P3:P34" si="0">COUNTIF(C3:I3,"&gt;=98.52")</f>
        <v>0</v>
      </c>
      <c r="Q3">
        <f t="shared" ref="Q3:Q34" si="1">COUNTIF(C3:I3,"&lt;98.52")</f>
        <v>7</v>
      </c>
    </row>
    <row r="4" spans="1:17" x14ac:dyDescent="0.3">
      <c r="B4" t="s">
        <v>1</v>
      </c>
      <c r="C4">
        <v>97.24</v>
      </c>
      <c r="D4">
        <v>100</v>
      </c>
      <c r="E4">
        <v>98.4</v>
      </c>
      <c r="F4">
        <v>92.59</v>
      </c>
      <c r="G4">
        <v>96.35</v>
      </c>
      <c r="H4">
        <v>97.95</v>
      </c>
      <c r="I4">
        <v>97.95</v>
      </c>
      <c r="J4">
        <v>98.46</v>
      </c>
      <c r="K4" t="s">
        <v>98</v>
      </c>
      <c r="L4" t="s">
        <v>98</v>
      </c>
      <c r="M4" t="s">
        <v>98</v>
      </c>
      <c r="N4" t="s">
        <v>98</v>
      </c>
      <c r="O4">
        <v>97.37</v>
      </c>
      <c r="P4">
        <f t="shared" si="0"/>
        <v>1</v>
      </c>
      <c r="Q4">
        <f t="shared" si="1"/>
        <v>6</v>
      </c>
    </row>
    <row r="5" spans="1:17" x14ac:dyDescent="0.3">
      <c r="B5" t="s">
        <v>2</v>
      </c>
      <c r="C5">
        <v>98.06</v>
      </c>
      <c r="D5">
        <v>98.81</v>
      </c>
      <c r="E5">
        <v>98.82</v>
      </c>
      <c r="F5">
        <v>98.3</v>
      </c>
      <c r="G5">
        <v>98.31</v>
      </c>
      <c r="H5">
        <v>98.1</v>
      </c>
      <c r="I5">
        <v>98.33</v>
      </c>
      <c r="J5">
        <v>98.36</v>
      </c>
      <c r="K5" t="s">
        <v>98</v>
      </c>
      <c r="L5" t="s">
        <v>98</v>
      </c>
      <c r="M5" t="s">
        <v>98</v>
      </c>
      <c r="N5" t="s">
        <v>98</v>
      </c>
      <c r="O5">
        <v>98.39</v>
      </c>
      <c r="P5">
        <f t="shared" si="0"/>
        <v>2</v>
      </c>
      <c r="Q5">
        <f t="shared" si="1"/>
        <v>5</v>
      </c>
    </row>
    <row r="6" spans="1:17" x14ac:dyDescent="0.3">
      <c r="B6" t="s">
        <v>3</v>
      </c>
      <c r="C6">
        <v>98.21</v>
      </c>
      <c r="D6">
        <v>98.23</v>
      </c>
      <c r="E6">
        <v>99</v>
      </c>
      <c r="F6">
        <v>97.63</v>
      </c>
      <c r="G6">
        <v>98.89</v>
      </c>
      <c r="H6">
        <v>98.29</v>
      </c>
      <c r="I6">
        <v>98.29</v>
      </c>
      <c r="J6">
        <v>98.17</v>
      </c>
      <c r="K6" t="s">
        <v>98</v>
      </c>
      <c r="L6" t="s">
        <v>98</v>
      </c>
      <c r="M6" t="s">
        <v>98</v>
      </c>
      <c r="N6" t="s">
        <v>98</v>
      </c>
      <c r="O6">
        <v>98.34</v>
      </c>
      <c r="P6">
        <f t="shared" si="0"/>
        <v>2</v>
      </c>
      <c r="Q6">
        <f t="shared" si="1"/>
        <v>5</v>
      </c>
    </row>
    <row r="7" spans="1:17" x14ac:dyDescent="0.3">
      <c r="B7" t="s">
        <v>4</v>
      </c>
      <c r="C7">
        <v>98.74</v>
      </c>
      <c r="D7">
        <v>98.82</v>
      </c>
      <c r="E7">
        <v>98.7</v>
      </c>
      <c r="F7">
        <v>98.19</v>
      </c>
      <c r="G7">
        <v>98.5</v>
      </c>
      <c r="H7">
        <v>98.32</v>
      </c>
      <c r="I7">
        <v>98.41</v>
      </c>
      <c r="J7">
        <v>98.41</v>
      </c>
      <c r="K7" t="s">
        <v>98</v>
      </c>
      <c r="L7" t="s">
        <v>98</v>
      </c>
      <c r="M7" t="s">
        <v>98</v>
      </c>
      <c r="N7" t="s">
        <v>98</v>
      </c>
      <c r="O7">
        <v>98.51</v>
      </c>
      <c r="P7">
        <f t="shared" si="0"/>
        <v>3</v>
      </c>
      <c r="Q7">
        <f t="shared" si="1"/>
        <v>4</v>
      </c>
    </row>
    <row r="8" spans="1:17" x14ac:dyDescent="0.3">
      <c r="B8" t="s">
        <v>5</v>
      </c>
      <c r="C8">
        <v>98.55</v>
      </c>
      <c r="D8">
        <v>98.72</v>
      </c>
      <c r="E8">
        <v>98.68</v>
      </c>
      <c r="F8">
        <v>97.51</v>
      </c>
      <c r="G8">
        <v>98.4</v>
      </c>
      <c r="H8">
        <v>97.72</v>
      </c>
      <c r="I8">
        <v>98.31</v>
      </c>
      <c r="J8">
        <v>98.31</v>
      </c>
      <c r="K8" t="s">
        <v>98</v>
      </c>
      <c r="L8" t="s">
        <v>98</v>
      </c>
      <c r="M8" t="s">
        <v>98</v>
      </c>
      <c r="N8" t="s">
        <v>98</v>
      </c>
      <c r="O8">
        <v>98.27</v>
      </c>
      <c r="P8">
        <f t="shared" si="0"/>
        <v>3</v>
      </c>
      <c r="Q8">
        <f t="shared" si="1"/>
        <v>4</v>
      </c>
    </row>
    <row r="9" spans="1:17" x14ac:dyDescent="0.3">
      <c r="B9" t="s">
        <v>6</v>
      </c>
      <c r="C9">
        <v>98.87</v>
      </c>
      <c r="D9">
        <v>98.94</v>
      </c>
      <c r="E9">
        <v>98.41</v>
      </c>
      <c r="F9">
        <v>97.39</v>
      </c>
      <c r="G9">
        <v>98.67</v>
      </c>
      <c r="H9">
        <v>98.77</v>
      </c>
      <c r="I9">
        <v>98.49</v>
      </c>
      <c r="J9">
        <v>98.47</v>
      </c>
      <c r="K9" t="s">
        <v>98</v>
      </c>
      <c r="L9" t="s">
        <v>98</v>
      </c>
      <c r="M9" t="s">
        <v>98</v>
      </c>
      <c r="N9" t="s">
        <v>98</v>
      </c>
      <c r="O9">
        <v>98.5</v>
      </c>
      <c r="P9">
        <f t="shared" si="0"/>
        <v>4</v>
      </c>
      <c r="Q9">
        <f t="shared" si="1"/>
        <v>3</v>
      </c>
    </row>
    <row r="10" spans="1:17" x14ac:dyDescent="0.3">
      <c r="B10" t="s">
        <v>7</v>
      </c>
      <c r="C10">
        <v>98.67</v>
      </c>
      <c r="D10">
        <v>98.46</v>
      </c>
      <c r="E10">
        <v>98.51</v>
      </c>
      <c r="F10">
        <v>98.54</v>
      </c>
      <c r="G10">
        <v>98.78</v>
      </c>
      <c r="H10">
        <v>98.49</v>
      </c>
      <c r="I10">
        <v>99.14</v>
      </c>
      <c r="J10">
        <v>99.26</v>
      </c>
      <c r="K10" t="s">
        <v>98</v>
      </c>
      <c r="L10" t="s">
        <v>98</v>
      </c>
      <c r="M10" t="s">
        <v>98</v>
      </c>
      <c r="N10" t="s">
        <v>98</v>
      </c>
      <c r="O10">
        <v>98.74</v>
      </c>
      <c r="P10">
        <f t="shared" si="0"/>
        <v>4</v>
      </c>
      <c r="Q10">
        <f t="shared" si="1"/>
        <v>3</v>
      </c>
    </row>
    <row r="11" spans="1:17" x14ac:dyDescent="0.3">
      <c r="B11" t="s">
        <v>8</v>
      </c>
      <c r="C11">
        <v>98.62</v>
      </c>
      <c r="D11">
        <v>99.11</v>
      </c>
      <c r="E11">
        <v>99.03</v>
      </c>
      <c r="F11">
        <v>98.7</v>
      </c>
      <c r="G11">
        <v>98.35</v>
      </c>
      <c r="H11">
        <v>98.41</v>
      </c>
      <c r="I11">
        <v>98.42</v>
      </c>
      <c r="J11">
        <v>98.45</v>
      </c>
      <c r="K11" t="s">
        <v>98</v>
      </c>
      <c r="L11" t="s">
        <v>98</v>
      </c>
      <c r="M11" t="s">
        <v>98</v>
      </c>
      <c r="N11" t="s">
        <v>98</v>
      </c>
      <c r="O11">
        <v>98.63</v>
      </c>
      <c r="P11">
        <f t="shared" si="0"/>
        <v>4</v>
      </c>
      <c r="Q11">
        <f t="shared" si="1"/>
        <v>3</v>
      </c>
    </row>
    <row r="12" spans="1:17" x14ac:dyDescent="0.3">
      <c r="B12" t="s">
        <v>9</v>
      </c>
      <c r="C12">
        <v>98.83</v>
      </c>
      <c r="D12">
        <v>98.37</v>
      </c>
      <c r="E12">
        <v>97.71</v>
      </c>
      <c r="F12">
        <v>98.27</v>
      </c>
      <c r="G12">
        <v>98.53</v>
      </c>
      <c r="H12">
        <v>98.96</v>
      </c>
      <c r="I12">
        <v>99.13</v>
      </c>
      <c r="J12">
        <v>98.88</v>
      </c>
      <c r="K12" t="s">
        <v>98</v>
      </c>
      <c r="L12" t="s">
        <v>98</v>
      </c>
      <c r="M12" t="s">
        <v>98</v>
      </c>
      <c r="N12" t="s">
        <v>98</v>
      </c>
      <c r="O12">
        <v>98.59</v>
      </c>
      <c r="P12">
        <f t="shared" si="0"/>
        <v>4</v>
      </c>
      <c r="Q12">
        <f t="shared" si="1"/>
        <v>3</v>
      </c>
    </row>
    <row r="13" spans="1:17" x14ac:dyDescent="0.3">
      <c r="B13" t="s">
        <v>10</v>
      </c>
      <c r="C13">
        <v>99.28</v>
      </c>
      <c r="D13">
        <v>99.21</v>
      </c>
      <c r="E13">
        <v>99.57</v>
      </c>
      <c r="F13">
        <v>98.85</v>
      </c>
      <c r="G13">
        <v>97.86</v>
      </c>
      <c r="H13">
        <v>99.06</v>
      </c>
      <c r="I13">
        <v>98.11</v>
      </c>
      <c r="J13">
        <v>98.29</v>
      </c>
      <c r="K13" t="s">
        <v>98</v>
      </c>
      <c r="L13" t="s">
        <v>98</v>
      </c>
      <c r="M13" t="s">
        <v>98</v>
      </c>
      <c r="N13" t="s">
        <v>98</v>
      </c>
      <c r="O13">
        <v>98.77</v>
      </c>
      <c r="P13">
        <f t="shared" si="0"/>
        <v>5</v>
      </c>
      <c r="Q13">
        <f t="shared" si="1"/>
        <v>2</v>
      </c>
    </row>
    <row r="14" spans="1:17" x14ac:dyDescent="0.3">
      <c r="B14" t="s">
        <v>11</v>
      </c>
      <c r="C14">
        <v>99.32</v>
      </c>
      <c r="D14">
        <v>99.38</v>
      </c>
      <c r="E14">
        <v>98.93</v>
      </c>
      <c r="F14">
        <v>98.89</v>
      </c>
      <c r="G14">
        <v>98.4</v>
      </c>
      <c r="H14">
        <v>98.37</v>
      </c>
      <c r="I14">
        <v>98.65</v>
      </c>
      <c r="J14">
        <v>98.66</v>
      </c>
      <c r="K14" t="s">
        <v>98</v>
      </c>
      <c r="L14" t="s">
        <v>98</v>
      </c>
      <c r="M14" t="s">
        <v>98</v>
      </c>
      <c r="N14" t="s">
        <v>98</v>
      </c>
      <c r="O14">
        <v>98.82</v>
      </c>
      <c r="P14">
        <f t="shared" si="0"/>
        <v>5</v>
      </c>
      <c r="Q14">
        <f t="shared" si="1"/>
        <v>2</v>
      </c>
    </row>
    <row r="15" spans="1:17" x14ac:dyDescent="0.3">
      <c r="B15" t="s">
        <v>12</v>
      </c>
      <c r="C15" t="s">
        <v>34</v>
      </c>
      <c r="D15">
        <v>98.26</v>
      </c>
      <c r="E15">
        <v>100</v>
      </c>
      <c r="F15">
        <v>100</v>
      </c>
      <c r="G15">
        <v>95.65</v>
      </c>
      <c r="H15">
        <v>99.13</v>
      </c>
      <c r="I15">
        <v>100</v>
      </c>
      <c r="J15">
        <v>100</v>
      </c>
      <c r="K15" t="s">
        <v>98</v>
      </c>
      <c r="L15" t="s">
        <v>98</v>
      </c>
      <c r="M15" t="s">
        <v>98</v>
      </c>
      <c r="N15" t="s">
        <v>98</v>
      </c>
      <c r="O15">
        <v>99.01</v>
      </c>
      <c r="P15">
        <f t="shared" si="0"/>
        <v>4</v>
      </c>
      <c r="Q15">
        <f t="shared" si="1"/>
        <v>2</v>
      </c>
    </row>
    <row r="16" spans="1:17" x14ac:dyDescent="0.3">
      <c r="B16" t="s">
        <v>13</v>
      </c>
      <c r="C16">
        <v>98.83</v>
      </c>
      <c r="D16">
        <v>98.87</v>
      </c>
      <c r="E16">
        <v>98.92</v>
      </c>
      <c r="F16">
        <v>98.5</v>
      </c>
      <c r="G16">
        <v>98.29</v>
      </c>
      <c r="H16">
        <v>98.64</v>
      </c>
      <c r="I16">
        <v>98.58</v>
      </c>
      <c r="J16">
        <v>98.57</v>
      </c>
      <c r="K16" t="s">
        <v>98</v>
      </c>
      <c r="L16" t="s">
        <v>98</v>
      </c>
      <c r="M16" t="s">
        <v>98</v>
      </c>
      <c r="N16" t="s">
        <v>98</v>
      </c>
      <c r="O16">
        <v>98.65</v>
      </c>
      <c r="P16">
        <f t="shared" si="0"/>
        <v>5</v>
      </c>
      <c r="Q16">
        <f t="shared" si="1"/>
        <v>2</v>
      </c>
    </row>
    <row r="17" spans="2:17" x14ac:dyDescent="0.3">
      <c r="B17" t="s">
        <v>14</v>
      </c>
      <c r="C17">
        <v>98.67</v>
      </c>
      <c r="D17">
        <v>99.57</v>
      </c>
      <c r="E17">
        <v>99.57</v>
      </c>
      <c r="F17">
        <v>97.88</v>
      </c>
      <c r="G17">
        <v>98.74</v>
      </c>
      <c r="H17">
        <v>99.58</v>
      </c>
      <c r="I17">
        <v>97.08</v>
      </c>
      <c r="J17">
        <v>97.08</v>
      </c>
      <c r="K17" t="s">
        <v>98</v>
      </c>
      <c r="L17" t="s">
        <v>98</v>
      </c>
      <c r="M17" t="s">
        <v>98</v>
      </c>
      <c r="N17" t="s">
        <v>98</v>
      </c>
      <c r="O17">
        <v>98.52</v>
      </c>
      <c r="P17">
        <f t="shared" si="0"/>
        <v>5</v>
      </c>
      <c r="Q17">
        <f t="shared" si="1"/>
        <v>2</v>
      </c>
    </row>
    <row r="18" spans="2:17" x14ac:dyDescent="0.3">
      <c r="B18" t="s">
        <v>15</v>
      </c>
      <c r="C18">
        <v>98.99</v>
      </c>
      <c r="D18">
        <v>99.23</v>
      </c>
      <c r="E18">
        <v>98.99</v>
      </c>
      <c r="F18">
        <v>98.6</v>
      </c>
      <c r="G18">
        <v>97.5</v>
      </c>
      <c r="H18">
        <v>98.15</v>
      </c>
      <c r="I18">
        <v>98.64</v>
      </c>
      <c r="J18">
        <v>98.6</v>
      </c>
      <c r="K18" t="s">
        <v>98</v>
      </c>
      <c r="L18" t="s">
        <v>98</v>
      </c>
      <c r="M18" t="s">
        <v>98</v>
      </c>
      <c r="N18" t="s">
        <v>98</v>
      </c>
      <c r="O18">
        <v>98.58</v>
      </c>
      <c r="P18">
        <f t="shared" si="0"/>
        <v>5</v>
      </c>
      <c r="Q18">
        <f t="shared" si="1"/>
        <v>2</v>
      </c>
    </row>
    <row r="19" spans="2:17" x14ac:dyDescent="0.3">
      <c r="B19" t="s">
        <v>16</v>
      </c>
      <c r="C19">
        <v>98.67</v>
      </c>
      <c r="D19">
        <v>98.47</v>
      </c>
      <c r="E19">
        <v>98.61</v>
      </c>
      <c r="F19">
        <v>98.29</v>
      </c>
      <c r="G19">
        <v>98.92</v>
      </c>
      <c r="H19">
        <v>98.71</v>
      </c>
      <c r="I19">
        <v>98.6</v>
      </c>
      <c r="J19">
        <v>98.6</v>
      </c>
      <c r="K19" t="s">
        <v>98</v>
      </c>
      <c r="L19" t="s">
        <v>98</v>
      </c>
      <c r="M19" t="s">
        <v>98</v>
      </c>
      <c r="N19" t="s">
        <v>98</v>
      </c>
      <c r="O19">
        <v>98.61</v>
      </c>
      <c r="P19">
        <f t="shared" si="0"/>
        <v>5</v>
      </c>
      <c r="Q19">
        <f t="shared" si="1"/>
        <v>2</v>
      </c>
    </row>
    <row r="20" spans="2:17" x14ac:dyDescent="0.3">
      <c r="B20" t="s">
        <v>17</v>
      </c>
      <c r="C20">
        <v>98.17</v>
      </c>
      <c r="D20">
        <v>99.2</v>
      </c>
      <c r="E20">
        <v>98.87</v>
      </c>
      <c r="F20">
        <v>98.49</v>
      </c>
      <c r="G20">
        <v>99.05</v>
      </c>
      <c r="H20">
        <v>98.74</v>
      </c>
      <c r="I20">
        <v>98.57</v>
      </c>
      <c r="J20">
        <v>98.59</v>
      </c>
      <c r="K20" t="s">
        <v>98</v>
      </c>
      <c r="L20" t="s">
        <v>98</v>
      </c>
      <c r="M20" t="s">
        <v>98</v>
      </c>
      <c r="N20" t="s">
        <v>98</v>
      </c>
      <c r="O20">
        <v>98.72</v>
      </c>
      <c r="P20">
        <f t="shared" si="0"/>
        <v>5</v>
      </c>
      <c r="Q20">
        <f t="shared" si="1"/>
        <v>2</v>
      </c>
    </row>
    <row r="21" spans="2:17" x14ac:dyDescent="0.3">
      <c r="B21" t="s">
        <v>18</v>
      </c>
      <c r="C21">
        <v>98.52</v>
      </c>
      <c r="D21">
        <v>99.34</v>
      </c>
      <c r="E21">
        <v>98.56</v>
      </c>
      <c r="F21">
        <v>98.3</v>
      </c>
      <c r="G21">
        <v>98.49</v>
      </c>
      <c r="H21">
        <v>98.94</v>
      </c>
      <c r="I21">
        <v>98.65</v>
      </c>
      <c r="J21">
        <v>98.7</v>
      </c>
      <c r="K21" t="s">
        <v>98</v>
      </c>
      <c r="L21" t="s">
        <v>98</v>
      </c>
      <c r="M21" t="s">
        <v>98</v>
      </c>
      <c r="N21" t="s">
        <v>98</v>
      </c>
      <c r="O21">
        <v>98.69</v>
      </c>
      <c r="P21">
        <f t="shared" si="0"/>
        <v>5</v>
      </c>
      <c r="Q21">
        <f t="shared" si="1"/>
        <v>2</v>
      </c>
    </row>
    <row r="22" spans="2:17" x14ac:dyDescent="0.3">
      <c r="B22" t="s">
        <v>19</v>
      </c>
      <c r="C22">
        <v>98.4</v>
      </c>
      <c r="D22">
        <v>99.76</v>
      </c>
      <c r="E22">
        <v>99.8</v>
      </c>
      <c r="F22">
        <v>99.61</v>
      </c>
      <c r="G22">
        <v>99.61</v>
      </c>
      <c r="H22">
        <v>99.54</v>
      </c>
      <c r="I22">
        <v>99.56</v>
      </c>
      <c r="J22">
        <v>99.57</v>
      </c>
      <c r="K22" t="s">
        <v>98</v>
      </c>
      <c r="L22" t="s">
        <v>98</v>
      </c>
      <c r="M22" t="s">
        <v>98</v>
      </c>
      <c r="N22" t="s">
        <v>98</v>
      </c>
      <c r="O22">
        <v>99.59</v>
      </c>
      <c r="P22">
        <f t="shared" si="0"/>
        <v>6</v>
      </c>
      <c r="Q22">
        <f t="shared" si="1"/>
        <v>1</v>
      </c>
    </row>
    <row r="23" spans="2:17" x14ac:dyDescent="0.3">
      <c r="B23" t="s">
        <v>20</v>
      </c>
      <c r="C23">
        <v>99.38</v>
      </c>
      <c r="D23">
        <v>99.53</v>
      </c>
      <c r="E23">
        <v>98.83</v>
      </c>
      <c r="F23">
        <v>98.73</v>
      </c>
      <c r="G23">
        <v>99.37</v>
      </c>
      <c r="H23">
        <v>99</v>
      </c>
      <c r="I23">
        <v>98.25</v>
      </c>
      <c r="J23">
        <v>98.21</v>
      </c>
      <c r="K23" t="s">
        <v>98</v>
      </c>
      <c r="L23" t="s">
        <v>98</v>
      </c>
      <c r="M23" t="s">
        <v>98</v>
      </c>
      <c r="N23" t="s">
        <v>98</v>
      </c>
      <c r="O23">
        <v>98.91</v>
      </c>
      <c r="P23">
        <f t="shared" si="0"/>
        <v>6</v>
      </c>
      <c r="Q23">
        <f t="shared" si="1"/>
        <v>1</v>
      </c>
    </row>
    <row r="24" spans="2:17" x14ac:dyDescent="0.3">
      <c r="B24" t="s">
        <v>21</v>
      </c>
      <c r="C24">
        <v>98.75</v>
      </c>
      <c r="D24">
        <v>99.21</v>
      </c>
      <c r="E24">
        <v>99.13</v>
      </c>
      <c r="F24">
        <v>99.07</v>
      </c>
      <c r="G24">
        <v>97.84</v>
      </c>
      <c r="H24">
        <v>99.13</v>
      </c>
      <c r="I24">
        <v>99.06</v>
      </c>
      <c r="J24">
        <v>99.05</v>
      </c>
      <c r="K24" t="s">
        <v>98</v>
      </c>
      <c r="L24" t="s">
        <v>98</v>
      </c>
      <c r="M24" t="s">
        <v>98</v>
      </c>
      <c r="N24" t="s">
        <v>98</v>
      </c>
      <c r="O24">
        <v>98.9</v>
      </c>
      <c r="P24">
        <f t="shared" si="0"/>
        <v>6</v>
      </c>
      <c r="Q24">
        <f t="shared" si="1"/>
        <v>1</v>
      </c>
    </row>
    <row r="25" spans="2:17" x14ac:dyDescent="0.3">
      <c r="B25" t="s">
        <v>22</v>
      </c>
      <c r="C25">
        <v>98.89</v>
      </c>
      <c r="D25">
        <v>99.15</v>
      </c>
      <c r="E25">
        <v>98.92</v>
      </c>
      <c r="F25">
        <v>98.74</v>
      </c>
      <c r="G25">
        <v>98.73</v>
      </c>
      <c r="H25">
        <v>98.49</v>
      </c>
      <c r="I25">
        <v>98.58</v>
      </c>
      <c r="J25">
        <v>98.55</v>
      </c>
      <c r="K25" t="s">
        <v>98</v>
      </c>
      <c r="L25" t="s">
        <v>98</v>
      </c>
      <c r="M25" t="s">
        <v>98</v>
      </c>
      <c r="N25" t="s">
        <v>98</v>
      </c>
      <c r="O25">
        <v>98.75</v>
      </c>
      <c r="P25">
        <f t="shared" si="0"/>
        <v>6</v>
      </c>
      <c r="Q25">
        <f t="shared" si="1"/>
        <v>1</v>
      </c>
    </row>
    <row r="26" spans="2:17" x14ac:dyDescent="0.3">
      <c r="B26" t="s">
        <v>23</v>
      </c>
      <c r="C26">
        <v>99.15</v>
      </c>
      <c r="D26">
        <v>99.29</v>
      </c>
      <c r="E26">
        <v>99.16</v>
      </c>
      <c r="F26">
        <v>98.68</v>
      </c>
      <c r="G26">
        <v>98.33</v>
      </c>
      <c r="H26">
        <v>98.92</v>
      </c>
      <c r="I26">
        <v>98.76</v>
      </c>
      <c r="J26">
        <v>98.73</v>
      </c>
      <c r="K26" t="s">
        <v>98</v>
      </c>
      <c r="L26" t="s">
        <v>98</v>
      </c>
      <c r="M26" t="s">
        <v>98</v>
      </c>
      <c r="N26" t="s">
        <v>98</v>
      </c>
      <c r="O26">
        <v>98.87</v>
      </c>
      <c r="P26">
        <f t="shared" si="0"/>
        <v>6</v>
      </c>
      <c r="Q26">
        <f t="shared" si="1"/>
        <v>1</v>
      </c>
    </row>
    <row r="27" spans="2:17" x14ac:dyDescent="0.3">
      <c r="B27" t="s">
        <v>24</v>
      </c>
      <c r="C27">
        <v>99.11</v>
      </c>
      <c r="D27">
        <v>99.42</v>
      </c>
      <c r="E27">
        <v>99.45</v>
      </c>
      <c r="F27">
        <v>99.14</v>
      </c>
      <c r="G27">
        <v>98.47</v>
      </c>
      <c r="H27">
        <v>98.96</v>
      </c>
      <c r="I27">
        <v>98.96</v>
      </c>
      <c r="J27">
        <v>99.01</v>
      </c>
      <c r="K27" t="s">
        <v>98</v>
      </c>
      <c r="L27" t="s">
        <v>98</v>
      </c>
      <c r="M27" t="s">
        <v>98</v>
      </c>
      <c r="N27" t="s">
        <v>98</v>
      </c>
      <c r="O27">
        <v>99.06</v>
      </c>
      <c r="P27">
        <f t="shared" si="0"/>
        <v>6</v>
      </c>
      <c r="Q27">
        <f t="shared" si="1"/>
        <v>1</v>
      </c>
    </row>
    <row r="28" spans="2:17" x14ac:dyDescent="0.3">
      <c r="B28" t="s">
        <v>25</v>
      </c>
      <c r="C28">
        <v>98.89</v>
      </c>
      <c r="D28">
        <v>99.33</v>
      </c>
      <c r="E28">
        <v>99.68</v>
      </c>
      <c r="F28">
        <v>99.62</v>
      </c>
      <c r="G28">
        <v>99.44</v>
      </c>
      <c r="H28">
        <v>98.95</v>
      </c>
      <c r="I28">
        <v>98.22</v>
      </c>
      <c r="J28">
        <v>98.08</v>
      </c>
      <c r="K28" t="s">
        <v>98</v>
      </c>
      <c r="L28" t="s">
        <v>98</v>
      </c>
      <c r="M28" t="s">
        <v>98</v>
      </c>
      <c r="N28" t="s">
        <v>98</v>
      </c>
      <c r="O28">
        <v>99.02</v>
      </c>
      <c r="P28">
        <f t="shared" si="0"/>
        <v>6</v>
      </c>
      <c r="Q28">
        <f t="shared" si="1"/>
        <v>1</v>
      </c>
    </row>
    <row r="29" spans="2:17" x14ac:dyDescent="0.3">
      <c r="B29" t="s">
        <v>26</v>
      </c>
      <c r="C29">
        <v>99.1</v>
      </c>
      <c r="D29">
        <v>99.09</v>
      </c>
      <c r="E29">
        <v>99.12</v>
      </c>
      <c r="F29">
        <v>98.99</v>
      </c>
      <c r="G29">
        <v>99</v>
      </c>
      <c r="H29">
        <v>98.84</v>
      </c>
      <c r="I29">
        <v>98.76</v>
      </c>
      <c r="J29">
        <v>98.78</v>
      </c>
      <c r="K29" t="s">
        <v>98</v>
      </c>
      <c r="L29" t="s">
        <v>98</v>
      </c>
      <c r="M29" t="s">
        <v>98</v>
      </c>
      <c r="N29" t="s">
        <v>98</v>
      </c>
      <c r="O29">
        <v>98.96</v>
      </c>
      <c r="P29">
        <f t="shared" si="0"/>
        <v>7</v>
      </c>
      <c r="Q29">
        <f t="shared" si="1"/>
        <v>0</v>
      </c>
    </row>
    <row r="30" spans="2:17" x14ac:dyDescent="0.3">
      <c r="B30" t="s">
        <v>27</v>
      </c>
      <c r="C30">
        <v>99.15</v>
      </c>
      <c r="D30">
        <v>99.36</v>
      </c>
      <c r="E30">
        <v>99.41</v>
      </c>
      <c r="F30">
        <v>99.37</v>
      </c>
      <c r="G30">
        <v>99.42</v>
      </c>
      <c r="H30">
        <v>99.3</v>
      </c>
      <c r="I30">
        <v>99</v>
      </c>
      <c r="J30">
        <v>99.03</v>
      </c>
      <c r="K30" t="s">
        <v>98</v>
      </c>
      <c r="L30" t="s">
        <v>98</v>
      </c>
      <c r="M30" t="s">
        <v>98</v>
      </c>
      <c r="N30" t="s">
        <v>98</v>
      </c>
      <c r="O30">
        <v>99.26</v>
      </c>
      <c r="P30">
        <f t="shared" si="0"/>
        <v>7</v>
      </c>
      <c r="Q30">
        <f t="shared" si="1"/>
        <v>0</v>
      </c>
    </row>
    <row r="31" spans="2:17" x14ac:dyDescent="0.3">
      <c r="B31" t="s">
        <v>28</v>
      </c>
      <c r="C31">
        <v>99.16</v>
      </c>
      <c r="D31">
        <v>99.26</v>
      </c>
      <c r="E31">
        <v>99.12</v>
      </c>
      <c r="F31">
        <v>98.95</v>
      </c>
      <c r="G31">
        <v>98.94</v>
      </c>
      <c r="H31">
        <v>98.79</v>
      </c>
      <c r="I31">
        <v>98.98</v>
      </c>
      <c r="J31">
        <v>98.98</v>
      </c>
      <c r="K31" t="s">
        <v>98</v>
      </c>
      <c r="L31" t="s">
        <v>98</v>
      </c>
      <c r="M31" t="s">
        <v>98</v>
      </c>
      <c r="N31" t="s">
        <v>98</v>
      </c>
      <c r="O31">
        <v>99.02</v>
      </c>
      <c r="P31">
        <f t="shared" si="0"/>
        <v>7</v>
      </c>
      <c r="Q31">
        <f t="shared" si="1"/>
        <v>0</v>
      </c>
    </row>
    <row r="32" spans="2:17" x14ac:dyDescent="0.3">
      <c r="B32" t="s">
        <v>29</v>
      </c>
      <c r="C32">
        <v>99.01</v>
      </c>
      <c r="D32">
        <v>99.41</v>
      </c>
      <c r="E32">
        <v>99.23</v>
      </c>
      <c r="F32">
        <v>99.24</v>
      </c>
      <c r="G32">
        <v>99.25</v>
      </c>
      <c r="H32">
        <v>99.49</v>
      </c>
      <c r="I32">
        <v>99.26</v>
      </c>
      <c r="J32">
        <v>99.35</v>
      </c>
      <c r="K32" t="s">
        <v>98</v>
      </c>
      <c r="L32" t="s">
        <v>98</v>
      </c>
      <c r="M32" t="s">
        <v>98</v>
      </c>
      <c r="N32" t="s">
        <v>98</v>
      </c>
      <c r="O32">
        <v>99.28</v>
      </c>
      <c r="P32">
        <f t="shared" si="0"/>
        <v>7</v>
      </c>
      <c r="Q32">
        <f t="shared" si="1"/>
        <v>0</v>
      </c>
    </row>
    <row r="33" spans="2:17" x14ac:dyDescent="0.3">
      <c r="B33" t="s">
        <v>30</v>
      </c>
      <c r="C33">
        <v>99.34</v>
      </c>
      <c r="D33">
        <v>99.35</v>
      </c>
      <c r="E33">
        <v>99.46</v>
      </c>
      <c r="F33">
        <v>99.42</v>
      </c>
      <c r="G33">
        <v>99.32</v>
      </c>
      <c r="H33">
        <v>99.29</v>
      </c>
      <c r="I33">
        <v>99.36</v>
      </c>
      <c r="J33">
        <v>99.36</v>
      </c>
      <c r="K33" t="s">
        <v>98</v>
      </c>
      <c r="L33" t="s">
        <v>98</v>
      </c>
      <c r="M33" t="s">
        <v>98</v>
      </c>
      <c r="N33" t="s">
        <v>98</v>
      </c>
      <c r="O33">
        <v>99.36</v>
      </c>
      <c r="P33">
        <f t="shared" si="0"/>
        <v>7</v>
      </c>
      <c r="Q33">
        <f t="shared" si="1"/>
        <v>0</v>
      </c>
    </row>
    <row r="34" spans="2:17" x14ac:dyDescent="0.3">
      <c r="B34" t="s">
        <v>31</v>
      </c>
      <c r="C34">
        <v>99.45</v>
      </c>
      <c r="D34">
        <v>99.76</v>
      </c>
      <c r="E34">
        <v>99.88</v>
      </c>
      <c r="F34">
        <v>99.82</v>
      </c>
      <c r="G34">
        <v>99.82</v>
      </c>
      <c r="H34">
        <v>99.83</v>
      </c>
      <c r="I34">
        <v>99.54</v>
      </c>
      <c r="J34">
        <v>99.54</v>
      </c>
      <c r="K34" t="s">
        <v>98</v>
      </c>
      <c r="L34" t="s">
        <v>98</v>
      </c>
      <c r="M34" t="s">
        <v>98</v>
      </c>
      <c r="N34" t="s">
        <v>98</v>
      </c>
      <c r="O34">
        <v>99.71</v>
      </c>
      <c r="P34">
        <f t="shared" si="0"/>
        <v>7</v>
      </c>
      <c r="Q34">
        <f t="shared" si="1"/>
        <v>0</v>
      </c>
    </row>
    <row r="35" spans="2:17" x14ac:dyDescent="0.3">
      <c r="B35" t="s">
        <v>32</v>
      </c>
      <c r="C35">
        <v>99.25</v>
      </c>
      <c r="D35">
        <v>99.41</v>
      </c>
      <c r="E35">
        <v>99.49</v>
      </c>
      <c r="F35">
        <v>99.14</v>
      </c>
      <c r="G35">
        <v>99.37</v>
      </c>
      <c r="H35">
        <v>98.94</v>
      </c>
      <c r="I35">
        <v>99.07</v>
      </c>
      <c r="J35">
        <v>99.1</v>
      </c>
      <c r="K35" t="s">
        <v>98</v>
      </c>
      <c r="L35" t="s">
        <v>98</v>
      </c>
      <c r="M35" t="s">
        <v>98</v>
      </c>
      <c r="N35" t="s">
        <v>98</v>
      </c>
      <c r="O35">
        <v>99.22</v>
      </c>
      <c r="P35">
        <f t="shared" ref="P35:P66" si="2">COUNTIF(C35:I35,"&gt;=98.52")</f>
        <v>7</v>
      </c>
      <c r="Q35">
        <f t="shared" ref="Q35:Q66" si="3">COUNTIF(C35:I35,"&lt;98.52")</f>
        <v>0</v>
      </c>
    </row>
    <row r="36" spans="2:17" x14ac:dyDescent="0.3">
      <c r="B36" t="s">
        <v>33</v>
      </c>
      <c r="C36">
        <v>99.48</v>
      </c>
      <c r="D36">
        <v>99.74</v>
      </c>
      <c r="E36">
        <v>99.43</v>
      </c>
      <c r="F36">
        <v>99.5</v>
      </c>
      <c r="G36">
        <v>99.51</v>
      </c>
      <c r="H36">
        <v>99.33</v>
      </c>
      <c r="I36">
        <v>99.21</v>
      </c>
      <c r="J36">
        <v>99.27</v>
      </c>
      <c r="K36" t="s">
        <v>98</v>
      </c>
      <c r="L36" t="s">
        <v>98</v>
      </c>
      <c r="M36" t="s">
        <v>98</v>
      </c>
      <c r="N36" t="s">
        <v>98</v>
      </c>
      <c r="O36">
        <v>99.43</v>
      </c>
      <c r="P36">
        <f t="shared" si="2"/>
        <v>7</v>
      </c>
      <c r="Q36">
        <f t="shared" si="3"/>
        <v>0</v>
      </c>
    </row>
    <row r="37" spans="2:17" x14ac:dyDescent="0.3">
      <c r="B37" t="s">
        <v>35</v>
      </c>
      <c r="C37">
        <v>98.87</v>
      </c>
      <c r="D37">
        <v>99.23</v>
      </c>
      <c r="E37">
        <v>99.01</v>
      </c>
      <c r="F37">
        <v>98.89</v>
      </c>
      <c r="G37">
        <v>99.03</v>
      </c>
      <c r="H37">
        <v>99.16</v>
      </c>
      <c r="I37">
        <v>98.68</v>
      </c>
      <c r="J37">
        <v>98.69</v>
      </c>
      <c r="K37" t="s">
        <v>98</v>
      </c>
      <c r="L37" t="s">
        <v>98</v>
      </c>
      <c r="M37" t="s">
        <v>98</v>
      </c>
      <c r="N37" t="s">
        <v>98</v>
      </c>
      <c r="O37">
        <v>98.95</v>
      </c>
      <c r="P37">
        <f t="shared" si="2"/>
        <v>7</v>
      </c>
      <c r="Q37">
        <f t="shared" si="3"/>
        <v>0</v>
      </c>
    </row>
    <row r="38" spans="2:17" x14ac:dyDescent="0.3">
      <c r="B38" t="s">
        <v>36</v>
      </c>
      <c r="C38">
        <v>98.93</v>
      </c>
      <c r="D38">
        <v>99.36</v>
      </c>
      <c r="E38">
        <v>99.31</v>
      </c>
      <c r="F38">
        <v>99.24</v>
      </c>
      <c r="G38">
        <v>99.17</v>
      </c>
      <c r="H38">
        <v>99.23</v>
      </c>
      <c r="I38">
        <v>99.08</v>
      </c>
      <c r="J38">
        <v>99.05</v>
      </c>
      <c r="K38" t="s">
        <v>98</v>
      </c>
      <c r="L38" t="s">
        <v>98</v>
      </c>
      <c r="M38" t="s">
        <v>98</v>
      </c>
      <c r="N38" t="s">
        <v>98</v>
      </c>
      <c r="O38">
        <v>99.17</v>
      </c>
      <c r="P38">
        <f t="shared" si="2"/>
        <v>7</v>
      </c>
      <c r="Q38">
        <f t="shared" si="3"/>
        <v>0</v>
      </c>
    </row>
    <row r="39" spans="2:17" x14ac:dyDescent="0.3">
      <c r="B39" t="s">
        <v>37</v>
      </c>
      <c r="C39">
        <v>99.46</v>
      </c>
      <c r="D39">
        <v>99.62</v>
      </c>
      <c r="E39">
        <v>99.61</v>
      </c>
      <c r="F39">
        <v>99.52</v>
      </c>
      <c r="G39">
        <v>99.57</v>
      </c>
      <c r="H39">
        <v>99.38</v>
      </c>
      <c r="I39">
        <v>99.57</v>
      </c>
      <c r="J39">
        <v>99.53</v>
      </c>
      <c r="K39" t="s">
        <v>98</v>
      </c>
      <c r="L39" t="s">
        <v>98</v>
      </c>
      <c r="M39" t="s">
        <v>98</v>
      </c>
      <c r="N39" t="s">
        <v>98</v>
      </c>
      <c r="O39">
        <v>99.53</v>
      </c>
      <c r="P39">
        <f t="shared" si="2"/>
        <v>7</v>
      </c>
      <c r="Q39">
        <f t="shared" si="3"/>
        <v>0</v>
      </c>
    </row>
    <row r="40" spans="2:17" x14ac:dyDescent="0.3">
      <c r="B40" t="s">
        <v>38</v>
      </c>
      <c r="C40">
        <v>99.19</v>
      </c>
      <c r="D40">
        <v>99.34</v>
      </c>
      <c r="E40">
        <v>99.29</v>
      </c>
      <c r="F40">
        <v>99.23</v>
      </c>
      <c r="G40">
        <v>99.14</v>
      </c>
      <c r="H40">
        <v>99.42</v>
      </c>
      <c r="I40">
        <v>99.48</v>
      </c>
      <c r="J40">
        <v>99.54</v>
      </c>
      <c r="K40" t="s">
        <v>98</v>
      </c>
      <c r="L40" t="s">
        <v>98</v>
      </c>
      <c r="M40" t="s">
        <v>98</v>
      </c>
      <c r="N40" t="s">
        <v>98</v>
      </c>
      <c r="O40">
        <v>99.33</v>
      </c>
      <c r="P40">
        <f t="shared" si="2"/>
        <v>7</v>
      </c>
      <c r="Q40">
        <f t="shared" si="3"/>
        <v>0</v>
      </c>
    </row>
    <row r="41" spans="2:17" x14ac:dyDescent="0.3">
      <c r="B41" t="s">
        <v>39</v>
      </c>
      <c r="C41">
        <v>98.99</v>
      </c>
      <c r="D41">
        <v>99.19</v>
      </c>
      <c r="E41">
        <v>99.03</v>
      </c>
      <c r="F41">
        <v>99.17</v>
      </c>
      <c r="G41">
        <v>98.61</v>
      </c>
      <c r="H41">
        <v>99.18</v>
      </c>
      <c r="I41">
        <v>99.28</v>
      </c>
      <c r="J41">
        <v>99.38</v>
      </c>
      <c r="K41" t="s">
        <v>98</v>
      </c>
      <c r="L41" t="s">
        <v>98</v>
      </c>
      <c r="M41" t="s">
        <v>98</v>
      </c>
      <c r="N41" t="s">
        <v>98</v>
      </c>
      <c r="O41">
        <v>99.1</v>
      </c>
      <c r="P41">
        <f t="shared" si="2"/>
        <v>7</v>
      </c>
      <c r="Q41">
        <f t="shared" si="3"/>
        <v>0</v>
      </c>
    </row>
    <row r="42" spans="2:17" x14ac:dyDescent="0.3">
      <c r="B42" t="s">
        <v>40</v>
      </c>
      <c r="C42">
        <v>99.41</v>
      </c>
      <c r="D42">
        <v>99.46</v>
      </c>
      <c r="E42">
        <v>99.34</v>
      </c>
      <c r="F42">
        <v>98.89</v>
      </c>
      <c r="G42">
        <v>99.24</v>
      </c>
      <c r="H42">
        <v>99.31</v>
      </c>
      <c r="I42">
        <v>99.23</v>
      </c>
      <c r="J42">
        <v>99.23</v>
      </c>
      <c r="K42" t="s">
        <v>98</v>
      </c>
      <c r="L42" t="s">
        <v>98</v>
      </c>
      <c r="M42" t="s">
        <v>98</v>
      </c>
      <c r="N42" t="s">
        <v>98</v>
      </c>
      <c r="O42">
        <v>99.26</v>
      </c>
      <c r="P42">
        <f t="shared" si="2"/>
        <v>7</v>
      </c>
      <c r="Q42">
        <f t="shared" si="3"/>
        <v>0</v>
      </c>
    </row>
    <row r="43" spans="2:17" x14ac:dyDescent="0.3">
      <c r="B43" t="s">
        <v>41</v>
      </c>
      <c r="C43">
        <v>99.69</v>
      </c>
      <c r="D43">
        <v>99.65</v>
      </c>
      <c r="E43">
        <v>99.59</v>
      </c>
      <c r="F43">
        <v>98.85</v>
      </c>
      <c r="G43">
        <v>99.66</v>
      </c>
      <c r="H43">
        <v>99.83</v>
      </c>
      <c r="I43">
        <v>99.37</v>
      </c>
      <c r="J43">
        <v>99.31</v>
      </c>
      <c r="K43" t="s">
        <v>98</v>
      </c>
      <c r="L43" t="s">
        <v>98</v>
      </c>
      <c r="M43" t="s">
        <v>98</v>
      </c>
      <c r="N43" t="s">
        <v>98</v>
      </c>
      <c r="O43">
        <v>99.49</v>
      </c>
      <c r="P43">
        <f t="shared" si="2"/>
        <v>7</v>
      </c>
      <c r="Q43">
        <f t="shared" si="3"/>
        <v>0</v>
      </c>
    </row>
    <row r="44" spans="2:17" x14ac:dyDescent="0.3">
      <c r="B44" t="s">
        <v>42</v>
      </c>
      <c r="C44">
        <v>99.59</v>
      </c>
      <c r="D44">
        <v>99.64</v>
      </c>
      <c r="E44">
        <v>99.61</v>
      </c>
      <c r="F44">
        <v>99.37</v>
      </c>
      <c r="G44">
        <v>99.3</v>
      </c>
      <c r="H44">
        <v>99.23</v>
      </c>
      <c r="I44">
        <v>99.38</v>
      </c>
      <c r="J44">
        <v>99.31</v>
      </c>
      <c r="K44" t="s">
        <v>98</v>
      </c>
      <c r="L44" t="s">
        <v>98</v>
      </c>
      <c r="M44" t="s">
        <v>98</v>
      </c>
      <c r="N44" t="s">
        <v>98</v>
      </c>
      <c r="O44">
        <v>99.43</v>
      </c>
      <c r="P44">
        <f t="shared" si="2"/>
        <v>7</v>
      </c>
      <c r="Q44">
        <f t="shared" si="3"/>
        <v>0</v>
      </c>
    </row>
    <row r="45" spans="2:17" x14ac:dyDescent="0.3">
      <c r="B45" t="s">
        <v>43</v>
      </c>
      <c r="C45">
        <v>99.2</v>
      </c>
      <c r="D45">
        <v>99.35</v>
      </c>
      <c r="E45">
        <v>99.3</v>
      </c>
      <c r="F45">
        <v>99.13</v>
      </c>
      <c r="G45">
        <v>99.06</v>
      </c>
      <c r="H45">
        <v>99.18</v>
      </c>
      <c r="I45">
        <v>98.98</v>
      </c>
      <c r="J45">
        <v>98.97</v>
      </c>
      <c r="K45" t="s">
        <v>98</v>
      </c>
      <c r="L45" t="s">
        <v>98</v>
      </c>
      <c r="M45" t="s">
        <v>98</v>
      </c>
      <c r="N45" t="s">
        <v>98</v>
      </c>
      <c r="O45">
        <v>99.15</v>
      </c>
      <c r="P45">
        <f t="shared" si="2"/>
        <v>7</v>
      </c>
      <c r="Q45">
        <f t="shared" si="3"/>
        <v>0</v>
      </c>
    </row>
    <row r="46" spans="2:17" x14ac:dyDescent="0.3">
      <c r="B46" t="s">
        <v>44</v>
      </c>
      <c r="C46">
        <v>99.51</v>
      </c>
      <c r="D46">
        <v>99.8</v>
      </c>
      <c r="E46">
        <v>99.93</v>
      </c>
      <c r="F46">
        <v>99.67</v>
      </c>
      <c r="G46">
        <v>99.61</v>
      </c>
      <c r="H46">
        <v>99.49</v>
      </c>
      <c r="I46">
        <v>99.61</v>
      </c>
      <c r="J46">
        <v>99.55</v>
      </c>
      <c r="K46" t="s">
        <v>98</v>
      </c>
      <c r="L46" t="s">
        <v>98</v>
      </c>
      <c r="M46" t="s">
        <v>98</v>
      </c>
      <c r="N46" t="s">
        <v>98</v>
      </c>
      <c r="O46">
        <v>99.65</v>
      </c>
      <c r="P46">
        <f t="shared" si="2"/>
        <v>7</v>
      </c>
      <c r="Q46">
        <f t="shared" si="3"/>
        <v>0</v>
      </c>
    </row>
    <row r="47" spans="2:17" x14ac:dyDescent="0.3">
      <c r="B47" t="s">
        <v>45</v>
      </c>
      <c r="C47">
        <v>98.91</v>
      </c>
      <c r="D47">
        <v>99.47</v>
      </c>
      <c r="E47">
        <v>99.35</v>
      </c>
      <c r="F47">
        <v>99.23</v>
      </c>
      <c r="G47">
        <v>99.37</v>
      </c>
      <c r="H47">
        <v>99.13</v>
      </c>
      <c r="I47">
        <v>98.88</v>
      </c>
      <c r="J47">
        <v>98.92</v>
      </c>
      <c r="K47" t="s">
        <v>98</v>
      </c>
      <c r="L47" t="s">
        <v>98</v>
      </c>
      <c r="M47" t="s">
        <v>98</v>
      </c>
      <c r="N47" t="s">
        <v>98</v>
      </c>
      <c r="O47">
        <v>99.16</v>
      </c>
      <c r="P47">
        <f t="shared" si="2"/>
        <v>7</v>
      </c>
      <c r="Q47">
        <f t="shared" si="3"/>
        <v>0</v>
      </c>
    </row>
    <row r="48" spans="2:17" x14ac:dyDescent="0.3">
      <c r="B48" t="s">
        <v>46</v>
      </c>
      <c r="C48">
        <v>98.56</v>
      </c>
      <c r="D48">
        <v>98.87</v>
      </c>
      <c r="E48">
        <v>98.56</v>
      </c>
      <c r="F48">
        <v>98.77</v>
      </c>
      <c r="G48">
        <v>98.74</v>
      </c>
      <c r="H48">
        <v>98.72</v>
      </c>
      <c r="I48">
        <v>98.77</v>
      </c>
      <c r="J48">
        <v>98.71</v>
      </c>
      <c r="K48" t="s">
        <v>98</v>
      </c>
      <c r="L48" t="s">
        <v>98</v>
      </c>
      <c r="M48" t="s">
        <v>98</v>
      </c>
      <c r="N48" t="s">
        <v>98</v>
      </c>
      <c r="O48">
        <v>98.72</v>
      </c>
      <c r="P48">
        <f t="shared" si="2"/>
        <v>7</v>
      </c>
      <c r="Q48">
        <f t="shared" si="3"/>
        <v>0</v>
      </c>
    </row>
    <row r="49" spans="2:17" x14ac:dyDescent="0.3">
      <c r="B49" t="s">
        <v>47</v>
      </c>
      <c r="C49">
        <v>99.13</v>
      </c>
      <c r="D49">
        <v>99.05</v>
      </c>
      <c r="E49">
        <v>99.36</v>
      </c>
      <c r="F49">
        <v>98.9</v>
      </c>
      <c r="G49">
        <v>98.99</v>
      </c>
      <c r="H49">
        <v>99.02</v>
      </c>
      <c r="I49">
        <v>98.83</v>
      </c>
      <c r="J49">
        <v>98.91</v>
      </c>
      <c r="K49" t="s">
        <v>98</v>
      </c>
      <c r="L49" t="s">
        <v>98</v>
      </c>
      <c r="M49" t="s">
        <v>98</v>
      </c>
      <c r="N49" t="s">
        <v>98</v>
      </c>
      <c r="O49">
        <v>99.02</v>
      </c>
      <c r="P49">
        <f t="shared" si="2"/>
        <v>7</v>
      </c>
      <c r="Q49">
        <f t="shared" si="3"/>
        <v>0</v>
      </c>
    </row>
    <row r="50" spans="2:17" x14ac:dyDescent="0.3">
      <c r="B50" t="s">
        <v>48</v>
      </c>
      <c r="C50">
        <v>99.28</v>
      </c>
      <c r="D50">
        <v>99.28</v>
      </c>
      <c r="E50">
        <v>99.23</v>
      </c>
      <c r="F50">
        <v>98.72</v>
      </c>
      <c r="G50">
        <v>98.97</v>
      </c>
      <c r="H50">
        <v>99.11</v>
      </c>
      <c r="I50">
        <v>99.11</v>
      </c>
      <c r="J50">
        <v>99.11</v>
      </c>
      <c r="K50" t="s">
        <v>98</v>
      </c>
      <c r="L50" t="s">
        <v>98</v>
      </c>
      <c r="M50" t="s">
        <v>98</v>
      </c>
      <c r="N50" t="s">
        <v>98</v>
      </c>
      <c r="O50">
        <v>99.1</v>
      </c>
      <c r="P50">
        <f t="shared" si="2"/>
        <v>7</v>
      </c>
      <c r="Q50">
        <f t="shared" si="3"/>
        <v>0</v>
      </c>
    </row>
    <row r="51" spans="2:17" x14ac:dyDescent="0.3">
      <c r="B51" t="s">
        <v>49</v>
      </c>
      <c r="C51">
        <v>100</v>
      </c>
      <c r="D51">
        <v>100</v>
      </c>
      <c r="E51">
        <v>99.87</v>
      </c>
      <c r="F51">
        <v>100</v>
      </c>
      <c r="G51">
        <v>100</v>
      </c>
      <c r="H51">
        <v>99.74</v>
      </c>
      <c r="I51">
        <v>99.87</v>
      </c>
      <c r="J51">
        <v>99.87</v>
      </c>
      <c r="K51" t="s">
        <v>98</v>
      </c>
      <c r="L51" t="s">
        <v>98</v>
      </c>
      <c r="M51" t="s">
        <v>98</v>
      </c>
      <c r="N51" t="s">
        <v>98</v>
      </c>
      <c r="O51">
        <v>99.92</v>
      </c>
      <c r="P51">
        <f t="shared" si="2"/>
        <v>7</v>
      </c>
      <c r="Q51">
        <f t="shared" si="3"/>
        <v>0</v>
      </c>
    </row>
    <row r="52" spans="2:17" x14ac:dyDescent="0.3">
      <c r="B52" t="s">
        <v>50</v>
      </c>
      <c r="C52">
        <v>99.18</v>
      </c>
      <c r="D52">
        <v>99.3</v>
      </c>
      <c r="E52">
        <v>99.29</v>
      </c>
      <c r="F52">
        <v>99.11</v>
      </c>
      <c r="G52">
        <v>98.93</v>
      </c>
      <c r="H52">
        <v>99.27</v>
      </c>
      <c r="I52">
        <v>98.89</v>
      </c>
      <c r="J52">
        <v>98.85</v>
      </c>
      <c r="K52" t="s">
        <v>98</v>
      </c>
      <c r="L52" t="s">
        <v>98</v>
      </c>
      <c r="M52" t="s">
        <v>98</v>
      </c>
      <c r="N52" t="s">
        <v>98</v>
      </c>
      <c r="O52">
        <v>99.1</v>
      </c>
      <c r="P52">
        <f t="shared" si="2"/>
        <v>7</v>
      </c>
      <c r="Q52">
        <f t="shared" si="3"/>
        <v>0</v>
      </c>
    </row>
    <row r="53" spans="2:17" x14ac:dyDescent="0.3">
      <c r="B53" t="s">
        <v>51</v>
      </c>
      <c r="C53">
        <v>99.16</v>
      </c>
      <c r="D53">
        <v>99.17</v>
      </c>
      <c r="E53">
        <v>99.02</v>
      </c>
      <c r="F53">
        <v>98.61</v>
      </c>
      <c r="G53">
        <v>98.66</v>
      </c>
      <c r="H53">
        <v>98.77</v>
      </c>
      <c r="I53">
        <v>98.8</v>
      </c>
      <c r="J53">
        <v>98.81</v>
      </c>
      <c r="K53" t="s">
        <v>98</v>
      </c>
      <c r="L53" t="s">
        <v>98</v>
      </c>
      <c r="M53" t="s">
        <v>98</v>
      </c>
      <c r="N53" t="s">
        <v>98</v>
      </c>
      <c r="O53">
        <v>98.87</v>
      </c>
      <c r="P53">
        <f t="shared" si="2"/>
        <v>7</v>
      </c>
      <c r="Q53">
        <f t="shared" si="3"/>
        <v>0</v>
      </c>
    </row>
    <row r="54" spans="2:17" x14ac:dyDescent="0.3">
      <c r="B54" t="s">
        <v>52</v>
      </c>
      <c r="C54">
        <v>99.65</v>
      </c>
      <c r="D54">
        <v>99.38</v>
      </c>
      <c r="E54">
        <v>99.61</v>
      </c>
      <c r="F54">
        <v>99.35</v>
      </c>
      <c r="G54">
        <v>99.29</v>
      </c>
      <c r="H54">
        <v>98.77</v>
      </c>
      <c r="I54">
        <v>98.98</v>
      </c>
      <c r="J54">
        <v>99.03</v>
      </c>
      <c r="K54" t="s">
        <v>98</v>
      </c>
      <c r="L54" t="s">
        <v>98</v>
      </c>
      <c r="M54" t="s">
        <v>98</v>
      </c>
      <c r="N54" t="s">
        <v>98</v>
      </c>
      <c r="O54">
        <v>99.25</v>
      </c>
      <c r="P54">
        <f t="shared" si="2"/>
        <v>7</v>
      </c>
      <c r="Q54">
        <f t="shared" si="3"/>
        <v>0</v>
      </c>
    </row>
    <row r="55" spans="2:17" x14ac:dyDescent="0.3">
      <c r="B55" t="s">
        <v>53</v>
      </c>
      <c r="C55">
        <v>99.52</v>
      </c>
      <c r="D55">
        <v>99.45</v>
      </c>
      <c r="E55">
        <v>99.15</v>
      </c>
      <c r="F55">
        <v>99.38</v>
      </c>
      <c r="G55">
        <v>98.85</v>
      </c>
      <c r="H55">
        <v>99.24</v>
      </c>
      <c r="I55">
        <v>98.85</v>
      </c>
      <c r="J55">
        <v>98.85</v>
      </c>
      <c r="K55" t="s">
        <v>98</v>
      </c>
      <c r="L55" t="s">
        <v>98</v>
      </c>
      <c r="M55" t="s">
        <v>98</v>
      </c>
      <c r="N55" t="s">
        <v>98</v>
      </c>
      <c r="O55">
        <v>99.16</v>
      </c>
      <c r="P55">
        <f t="shared" si="2"/>
        <v>7</v>
      </c>
      <c r="Q55">
        <f t="shared" si="3"/>
        <v>0</v>
      </c>
    </row>
    <row r="56" spans="2:17" x14ac:dyDescent="0.3">
      <c r="B56" t="s">
        <v>54</v>
      </c>
      <c r="C56">
        <v>99.56</v>
      </c>
      <c r="D56">
        <v>99.64</v>
      </c>
      <c r="E56">
        <v>99.38</v>
      </c>
      <c r="F56">
        <v>99.13</v>
      </c>
      <c r="G56">
        <v>99.49</v>
      </c>
      <c r="H56">
        <v>99.54</v>
      </c>
      <c r="I56">
        <v>99.44</v>
      </c>
      <c r="J56">
        <v>99.34</v>
      </c>
      <c r="K56" t="s">
        <v>98</v>
      </c>
      <c r="L56" t="s">
        <v>98</v>
      </c>
      <c r="M56" t="s">
        <v>98</v>
      </c>
      <c r="N56" t="s">
        <v>98</v>
      </c>
      <c r="O56">
        <v>99.44</v>
      </c>
      <c r="P56">
        <f t="shared" si="2"/>
        <v>7</v>
      </c>
      <c r="Q56">
        <f t="shared" si="3"/>
        <v>0</v>
      </c>
    </row>
    <row r="57" spans="2:17" x14ac:dyDescent="0.3">
      <c r="B57" t="s">
        <v>55</v>
      </c>
      <c r="C57">
        <v>99.42</v>
      </c>
      <c r="D57">
        <v>99.47</v>
      </c>
      <c r="E57">
        <v>99.47</v>
      </c>
      <c r="F57">
        <v>99.29</v>
      </c>
      <c r="G57">
        <v>99.38</v>
      </c>
      <c r="H57">
        <v>99.38</v>
      </c>
      <c r="I57">
        <v>99.4</v>
      </c>
      <c r="J57">
        <v>99.38</v>
      </c>
      <c r="K57" t="s">
        <v>98</v>
      </c>
      <c r="L57" t="s">
        <v>98</v>
      </c>
      <c r="M57" t="s">
        <v>98</v>
      </c>
      <c r="N57" t="s">
        <v>98</v>
      </c>
      <c r="O57">
        <v>99.4</v>
      </c>
      <c r="P57">
        <f t="shared" si="2"/>
        <v>7</v>
      </c>
      <c r="Q57">
        <f t="shared" si="3"/>
        <v>0</v>
      </c>
    </row>
    <row r="58" spans="2:17" x14ac:dyDescent="0.3">
      <c r="B58" t="s">
        <v>56</v>
      </c>
      <c r="C58">
        <v>99.33</v>
      </c>
      <c r="D58">
        <v>99.56</v>
      </c>
      <c r="E58">
        <v>99.32</v>
      </c>
      <c r="F58">
        <v>99.05</v>
      </c>
      <c r="G58">
        <v>99.03</v>
      </c>
      <c r="H58">
        <v>98.86</v>
      </c>
      <c r="I58">
        <v>98.92</v>
      </c>
      <c r="J58">
        <v>98.94</v>
      </c>
      <c r="K58" t="s">
        <v>98</v>
      </c>
      <c r="L58" t="s">
        <v>98</v>
      </c>
      <c r="M58" t="s">
        <v>98</v>
      </c>
      <c r="N58" t="s">
        <v>98</v>
      </c>
      <c r="O58">
        <v>99.12</v>
      </c>
      <c r="P58">
        <f t="shared" si="2"/>
        <v>7</v>
      </c>
      <c r="Q58">
        <f t="shared" si="3"/>
        <v>0</v>
      </c>
    </row>
    <row r="59" spans="2:17" x14ac:dyDescent="0.3">
      <c r="B59" t="s">
        <v>57</v>
      </c>
      <c r="C59">
        <v>98.82</v>
      </c>
      <c r="D59">
        <v>99.14</v>
      </c>
      <c r="E59">
        <v>99.28</v>
      </c>
      <c r="F59">
        <v>99.13</v>
      </c>
      <c r="G59">
        <v>99.26</v>
      </c>
      <c r="H59">
        <v>99.09</v>
      </c>
      <c r="I59">
        <v>99.23</v>
      </c>
      <c r="J59">
        <v>99.22</v>
      </c>
      <c r="K59" t="s">
        <v>98</v>
      </c>
      <c r="L59" t="s">
        <v>98</v>
      </c>
      <c r="M59" t="s">
        <v>98</v>
      </c>
      <c r="N59" t="s">
        <v>98</v>
      </c>
      <c r="O59">
        <v>99.15</v>
      </c>
      <c r="P59">
        <f t="shared" si="2"/>
        <v>7</v>
      </c>
      <c r="Q59">
        <f t="shared" si="3"/>
        <v>0</v>
      </c>
    </row>
    <row r="60" spans="2:17" x14ac:dyDescent="0.3">
      <c r="B60" t="s">
        <v>58</v>
      </c>
      <c r="C60">
        <v>99.01</v>
      </c>
      <c r="D60">
        <v>98.91</v>
      </c>
      <c r="E60">
        <v>99.39</v>
      </c>
      <c r="F60">
        <v>99.62</v>
      </c>
      <c r="G60">
        <v>99.07</v>
      </c>
      <c r="H60">
        <v>99.63</v>
      </c>
      <c r="I60">
        <v>99.12</v>
      </c>
      <c r="J60">
        <v>99.19</v>
      </c>
      <c r="K60" t="s">
        <v>98</v>
      </c>
      <c r="L60" t="s">
        <v>98</v>
      </c>
      <c r="M60" t="s">
        <v>98</v>
      </c>
      <c r="N60" t="s">
        <v>98</v>
      </c>
      <c r="O60">
        <v>99.24</v>
      </c>
      <c r="P60">
        <f t="shared" si="2"/>
        <v>7</v>
      </c>
      <c r="Q60">
        <f t="shared" si="3"/>
        <v>0</v>
      </c>
    </row>
    <row r="61" spans="2:17" x14ac:dyDescent="0.3">
      <c r="B61" t="s">
        <v>59</v>
      </c>
      <c r="C61">
        <v>100</v>
      </c>
      <c r="D61">
        <v>99.18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 t="s">
        <v>98</v>
      </c>
      <c r="L61" t="s">
        <v>98</v>
      </c>
      <c r="M61" t="s">
        <v>98</v>
      </c>
      <c r="N61" t="s">
        <v>98</v>
      </c>
      <c r="O61">
        <v>99.89</v>
      </c>
      <c r="P61">
        <f t="shared" si="2"/>
        <v>7</v>
      </c>
      <c r="Q61">
        <f t="shared" si="3"/>
        <v>0</v>
      </c>
    </row>
    <row r="62" spans="2:17" x14ac:dyDescent="0.3">
      <c r="B62" t="s">
        <v>60</v>
      </c>
      <c r="C62">
        <v>99.51</v>
      </c>
      <c r="D62">
        <v>99.37</v>
      </c>
      <c r="E62">
        <v>99.44</v>
      </c>
      <c r="F62">
        <v>99.18</v>
      </c>
      <c r="G62">
        <v>99.42</v>
      </c>
      <c r="H62">
        <v>99.39</v>
      </c>
      <c r="I62">
        <v>99.39</v>
      </c>
      <c r="J62">
        <v>99.35</v>
      </c>
      <c r="K62" t="s">
        <v>98</v>
      </c>
      <c r="L62" t="s">
        <v>98</v>
      </c>
      <c r="M62" t="s">
        <v>98</v>
      </c>
      <c r="N62" t="s">
        <v>98</v>
      </c>
      <c r="O62">
        <v>99.38</v>
      </c>
      <c r="P62">
        <f t="shared" si="2"/>
        <v>7</v>
      </c>
      <c r="Q62">
        <f t="shared" si="3"/>
        <v>0</v>
      </c>
    </row>
    <row r="63" spans="2:17" x14ac:dyDescent="0.3">
      <c r="B63" t="s">
        <v>61</v>
      </c>
      <c r="C63">
        <v>99.49</v>
      </c>
      <c r="D63">
        <v>99.23</v>
      </c>
      <c r="E63">
        <v>99.36</v>
      </c>
      <c r="F63">
        <v>99.04</v>
      </c>
      <c r="G63">
        <v>98.9</v>
      </c>
      <c r="H63">
        <v>99.2</v>
      </c>
      <c r="I63">
        <v>98.89</v>
      </c>
      <c r="J63">
        <v>98.89</v>
      </c>
      <c r="K63" t="s">
        <v>98</v>
      </c>
      <c r="L63" t="s">
        <v>98</v>
      </c>
      <c r="M63" t="s">
        <v>98</v>
      </c>
      <c r="N63" t="s">
        <v>98</v>
      </c>
      <c r="O63">
        <v>99.12</v>
      </c>
      <c r="P63">
        <f t="shared" si="2"/>
        <v>7</v>
      </c>
      <c r="Q63">
        <f t="shared" si="3"/>
        <v>0</v>
      </c>
    </row>
    <row r="64" spans="2:17" x14ac:dyDescent="0.3">
      <c r="B64" t="s">
        <v>62</v>
      </c>
      <c r="C64">
        <v>99.69</v>
      </c>
      <c r="D64">
        <v>99.88</v>
      </c>
      <c r="E64">
        <v>100</v>
      </c>
      <c r="F64">
        <v>100</v>
      </c>
      <c r="G64">
        <v>99.94</v>
      </c>
      <c r="H64">
        <v>99.94</v>
      </c>
      <c r="I64">
        <v>99.76</v>
      </c>
      <c r="J64">
        <v>99.76</v>
      </c>
      <c r="K64" t="s">
        <v>98</v>
      </c>
      <c r="L64" t="s">
        <v>98</v>
      </c>
      <c r="M64" t="s">
        <v>98</v>
      </c>
      <c r="N64" t="s">
        <v>98</v>
      </c>
      <c r="O64">
        <v>99.87</v>
      </c>
      <c r="P64">
        <f t="shared" si="2"/>
        <v>7</v>
      </c>
      <c r="Q64">
        <f t="shared" si="3"/>
        <v>0</v>
      </c>
    </row>
    <row r="65" spans="2:17" x14ac:dyDescent="0.3">
      <c r="B65" t="s">
        <v>63</v>
      </c>
      <c r="C65">
        <v>99.35</v>
      </c>
      <c r="D65">
        <v>99.4</v>
      </c>
      <c r="E65">
        <v>99.52</v>
      </c>
      <c r="F65">
        <v>99.04</v>
      </c>
      <c r="G65">
        <v>99.06</v>
      </c>
      <c r="H65">
        <v>98.72</v>
      </c>
      <c r="I65">
        <v>98.97</v>
      </c>
      <c r="J65">
        <v>99.04</v>
      </c>
      <c r="K65" t="s">
        <v>98</v>
      </c>
      <c r="L65" t="s">
        <v>98</v>
      </c>
      <c r="M65" t="s">
        <v>98</v>
      </c>
      <c r="N65" t="s">
        <v>98</v>
      </c>
      <c r="O65">
        <v>99.13</v>
      </c>
      <c r="P65">
        <f t="shared" si="2"/>
        <v>7</v>
      </c>
      <c r="Q65">
        <f t="shared" si="3"/>
        <v>0</v>
      </c>
    </row>
    <row r="66" spans="2:17" x14ac:dyDescent="0.3">
      <c r="B66" t="s">
        <v>64</v>
      </c>
      <c r="C66">
        <v>99.09</v>
      </c>
      <c r="D66">
        <v>99.79</v>
      </c>
      <c r="E66">
        <v>99.8</v>
      </c>
      <c r="F66">
        <v>99.8</v>
      </c>
      <c r="G66">
        <v>99.87</v>
      </c>
      <c r="H66">
        <v>99.35</v>
      </c>
      <c r="I66">
        <v>99.54</v>
      </c>
      <c r="J66">
        <v>99.54</v>
      </c>
      <c r="K66" t="s">
        <v>98</v>
      </c>
      <c r="L66" t="s">
        <v>98</v>
      </c>
      <c r="M66" t="s">
        <v>98</v>
      </c>
      <c r="N66" t="s">
        <v>98</v>
      </c>
      <c r="O66">
        <v>99.6</v>
      </c>
      <c r="P66">
        <f t="shared" si="2"/>
        <v>7</v>
      </c>
      <c r="Q66">
        <f t="shared" si="3"/>
        <v>0</v>
      </c>
    </row>
    <row r="67" spans="2:17" x14ac:dyDescent="0.3">
      <c r="B67" t="s">
        <v>65</v>
      </c>
      <c r="C67">
        <v>99.05</v>
      </c>
      <c r="D67">
        <v>99.11</v>
      </c>
      <c r="E67">
        <v>99.05</v>
      </c>
      <c r="F67">
        <v>99.04</v>
      </c>
      <c r="G67">
        <v>98.82</v>
      </c>
      <c r="H67">
        <v>98.99</v>
      </c>
      <c r="I67">
        <v>99.02</v>
      </c>
      <c r="J67">
        <v>98.99</v>
      </c>
      <c r="K67" t="s">
        <v>98</v>
      </c>
      <c r="L67" t="s">
        <v>98</v>
      </c>
      <c r="M67" t="s">
        <v>98</v>
      </c>
      <c r="N67" t="s">
        <v>98</v>
      </c>
      <c r="O67">
        <v>99.01</v>
      </c>
      <c r="P67">
        <f t="shared" ref="P67:P85" si="4">COUNTIF(C67:I67,"&gt;=98.52")</f>
        <v>7</v>
      </c>
      <c r="Q67">
        <f t="shared" ref="Q67:Q85" si="5">COUNTIF(C67:I67,"&lt;98.52")</f>
        <v>0</v>
      </c>
    </row>
    <row r="68" spans="2:17" x14ac:dyDescent="0.3">
      <c r="B68" t="s">
        <v>66</v>
      </c>
      <c r="C68">
        <v>99.08</v>
      </c>
      <c r="D68">
        <v>99.13</v>
      </c>
      <c r="E68">
        <v>99.01</v>
      </c>
      <c r="F68">
        <v>98.9</v>
      </c>
      <c r="G68">
        <v>98.92</v>
      </c>
      <c r="H68">
        <v>98.73</v>
      </c>
      <c r="I68">
        <v>98.88</v>
      </c>
      <c r="J68">
        <v>98.85</v>
      </c>
      <c r="K68" t="s">
        <v>98</v>
      </c>
      <c r="L68" t="s">
        <v>98</v>
      </c>
      <c r="M68" t="s">
        <v>98</v>
      </c>
      <c r="N68" t="s">
        <v>98</v>
      </c>
      <c r="O68">
        <v>98.93</v>
      </c>
      <c r="P68">
        <f t="shared" si="4"/>
        <v>7</v>
      </c>
      <c r="Q68">
        <f t="shared" si="5"/>
        <v>0</v>
      </c>
    </row>
    <row r="69" spans="2:17" x14ac:dyDescent="0.3">
      <c r="B69" t="s">
        <v>67</v>
      </c>
      <c r="C69">
        <v>98.79</v>
      </c>
      <c r="D69">
        <v>99.16</v>
      </c>
      <c r="E69">
        <v>99.15</v>
      </c>
      <c r="F69">
        <v>98.69</v>
      </c>
      <c r="G69">
        <v>99.16</v>
      </c>
      <c r="H69">
        <v>99.04</v>
      </c>
      <c r="I69">
        <v>99.21</v>
      </c>
      <c r="J69">
        <v>99.21</v>
      </c>
      <c r="K69" t="s">
        <v>98</v>
      </c>
      <c r="L69" t="s">
        <v>98</v>
      </c>
      <c r="M69" t="s">
        <v>98</v>
      </c>
      <c r="N69" t="s">
        <v>98</v>
      </c>
      <c r="O69">
        <v>99.05</v>
      </c>
      <c r="P69">
        <f t="shared" si="4"/>
        <v>7</v>
      </c>
      <c r="Q69">
        <f t="shared" si="5"/>
        <v>0</v>
      </c>
    </row>
    <row r="70" spans="2:17" x14ac:dyDescent="0.3">
      <c r="B70" t="s">
        <v>68</v>
      </c>
      <c r="C70">
        <v>99.95</v>
      </c>
      <c r="D70">
        <v>99.81</v>
      </c>
      <c r="E70">
        <v>99.62</v>
      </c>
      <c r="F70">
        <v>99.53</v>
      </c>
      <c r="G70">
        <v>99.42</v>
      </c>
      <c r="H70">
        <v>99.37</v>
      </c>
      <c r="I70">
        <v>98.91</v>
      </c>
      <c r="J70">
        <v>98.93</v>
      </c>
      <c r="K70" t="s">
        <v>98</v>
      </c>
      <c r="L70" t="s">
        <v>98</v>
      </c>
      <c r="M70" t="s">
        <v>98</v>
      </c>
      <c r="N70" t="s">
        <v>98</v>
      </c>
      <c r="O70">
        <v>99.44</v>
      </c>
      <c r="P70">
        <f t="shared" si="4"/>
        <v>7</v>
      </c>
      <c r="Q70">
        <f t="shared" si="5"/>
        <v>0</v>
      </c>
    </row>
    <row r="71" spans="2:17" x14ac:dyDescent="0.3">
      <c r="B71" t="s">
        <v>69</v>
      </c>
      <c r="C71">
        <v>99.44</v>
      </c>
      <c r="D71">
        <v>99.1</v>
      </c>
      <c r="E71">
        <v>99.14</v>
      </c>
      <c r="F71">
        <v>98.85</v>
      </c>
      <c r="G71">
        <v>98.72</v>
      </c>
      <c r="H71">
        <v>98.96</v>
      </c>
      <c r="I71">
        <v>98.97</v>
      </c>
      <c r="J71">
        <v>99.02</v>
      </c>
      <c r="K71" t="s">
        <v>98</v>
      </c>
      <c r="L71" t="s">
        <v>98</v>
      </c>
      <c r="M71" t="s">
        <v>98</v>
      </c>
      <c r="N71" t="s">
        <v>98</v>
      </c>
      <c r="O71">
        <v>99.02</v>
      </c>
      <c r="P71">
        <f t="shared" si="4"/>
        <v>7</v>
      </c>
      <c r="Q71">
        <f t="shared" si="5"/>
        <v>0</v>
      </c>
    </row>
    <row r="72" spans="2:17" x14ac:dyDescent="0.3">
      <c r="B72" t="s">
        <v>70</v>
      </c>
      <c r="C72">
        <v>99.42</v>
      </c>
      <c r="D72">
        <v>99.39</v>
      </c>
      <c r="E72">
        <v>99.3</v>
      </c>
      <c r="F72">
        <v>98.62</v>
      </c>
      <c r="G72">
        <v>99.32</v>
      </c>
      <c r="H72">
        <v>99.27</v>
      </c>
      <c r="I72">
        <v>99.21</v>
      </c>
      <c r="J72">
        <v>99.22</v>
      </c>
      <c r="K72" t="s">
        <v>98</v>
      </c>
      <c r="L72" t="s">
        <v>98</v>
      </c>
      <c r="M72" t="s">
        <v>98</v>
      </c>
      <c r="N72" t="s">
        <v>98</v>
      </c>
      <c r="O72">
        <v>99.22</v>
      </c>
      <c r="P72">
        <f t="shared" si="4"/>
        <v>7</v>
      </c>
      <c r="Q72">
        <f t="shared" si="5"/>
        <v>0</v>
      </c>
    </row>
    <row r="73" spans="2:17" x14ac:dyDescent="0.3">
      <c r="B73" t="s">
        <v>71</v>
      </c>
      <c r="C73">
        <v>99.65</v>
      </c>
      <c r="D73">
        <v>99.59</v>
      </c>
      <c r="E73">
        <v>99.54</v>
      </c>
      <c r="F73">
        <v>99.59</v>
      </c>
      <c r="G73">
        <v>99.71</v>
      </c>
      <c r="H73">
        <v>99.55</v>
      </c>
      <c r="I73">
        <v>99.73</v>
      </c>
      <c r="J73">
        <v>99.72</v>
      </c>
      <c r="K73" t="s">
        <v>98</v>
      </c>
      <c r="L73" t="s">
        <v>98</v>
      </c>
      <c r="M73" t="s">
        <v>98</v>
      </c>
      <c r="N73" t="s">
        <v>98</v>
      </c>
      <c r="O73">
        <v>99.63</v>
      </c>
      <c r="P73">
        <f t="shared" si="4"/>
        <v>7</v>
      </c>
      <c r="Q73">
        <f t="shared" si="5"/>
        <v>0</v>
      </c>
    </row>
    <row r="74" spans="2:17" x14ac:dyDescent="0.3">
      <c r="B74" t="s">
        <v>72</v>
      </c>
      <c r="C74">
        <v>99.32</v>
      </c>
      <c r="D74">
        <v>99.81</v>
      </c>
      <c r="E74">
        <v>99.07</v>
      </c>
      <c r="F74">
        <v>99.35</v>
      </c>
      <c r="G74">
        <v>98.52</v>
      </c>
      <c r="H74">
        <v>99.18</v>
      </c>
      <c r="I74">
        <v>98.81</v>
      </c>
      <c r="J74">
        <v>98.9</v>
      </c>
      <c r="K74" t="s">
        <v>98</v>
      </c>
      <c r="L74" t="s">
        <v>98</v>
      </c>
      <c r="M74" t="s">
        <v>98</v>
      </c>
      <c r="N74" t="s">
        <v>98</v>
      </c>
      <c r="O74">
        <v>99.12</v>
      </c>
      <c r="P74">
        <f t="shared" si="4"/>
        <v>7</v>
      </c>
      <c r="Q74">
        <f t="shared" si="5"/>
        <v>0</v>
      </c>
    </row>
    <row r="75" spans="2:17" x14ac:dyDescent="0.3">
      <c r="B75" t="s">
        <v>73</v>
      </c>
      <c r="C75">
        <v>99.16</v>
      </c>
      <c r="D75">
        <v>99.27</v>
      </c>
      <c r="E75">
        <v>99.31</v>
      </c>
      <c r="F75">
        <v>98.96</v>
      </c>
      <c r="G75">
        <v>98.92</v>
      </c>
      <c r="H75">
        <v>98.81</v>
      </c>
      <c r="I75">
        <v>98.84</v>
      </c>
      <c r="J75">
        <v>98.89</v>
      </c>
      <c r="K75" t="s">
        <v>98</v>
      </c>
      <c r="L75" t="s">
        <v>98</v>
      </c>
      <c r="M75" t="s">
        <v>98</v>
      </c>
      <c r="N75" t="s">
        <v>98</v>
      </c>
      <c r="O75">
        <v>99.02</v>
      </c>
      <c r="P75">
        <f t="shared" si="4"/>
        <v>7</v>
      </c>
      <c r="Q75">
        <f t="shared" si="5"/>
        <v>0</v>
      </c>
    </row>
    <row r="76" spans="2:17" x14ac:dyDescent="0.3">
      <c r="B76" t="s">
        <v>74</v>
      </c>
      <c r="C76">
        <v>99.16</v>
      </c>
      <c r="D76">
        <v>99.29</v>
      </c>
      <c r="E76">
        <v>98.83</v>
      </c>
      <c r="F76">
        <v>99</v>
      </c>
      <c r="G76">
        <v>98.96</v>
      </c>
      <c r="H76">
        <v>99.12</v>
      </c>
      <c r="I76">
        <v>99.08</v>
      </c>
      <c r="J76">
        <v>99.05</v>
      </c>
      <c r="K76" t="s">
        <v>98</v>
      </c>
      <c r="L76" t="s">
        <v>98</v>
      </c>
      <c r="M76" t="s">
        <v>98</v>
      </c>
      <c r="N76" t="s">
        <v>98</v>
      </c>
      <c r="O76">
        <v>99.06</v>
      </c>
      <c r="P76">
        <f t="shared" si="4"/>
        <v>7</v>
      </c>
      <c r="Q76">
        <f t="shared" si="5"/>
        <v>0</v>
      </c>
    </row>
    <row r="77" spans="2:17" x14ac:dyDescent="0.3">
      <c r="B77" t="s">
        <v>75</v>
      </c>
      <c r="C77">
        <v>99.15</v>
      </c>
      <c r="D77">
        <v>99.07</v>
      </c>
      <c r="E77">
        <v>99.09</v>
      </c>
      <c r="F77">
        <v>98.55</v>
      </c>
      <c r="G77">
        <v>98.9</v>
      </c>
      <c r="H77">
        <v>98.78</v>
      </c>
      <c r="I77">
        <v>98.92</v>
      </c>
      <c r="J77">
        <v>98.95</v>
      </c>
      <c r="K77" t="s">
        <v>98</v>
      </c>
      <c r="L77" t="s">
        <v>98</v>
      </c>
      <c r="M77" t="s">
        <v>98</v>
      </c>
      <c r="N77" t="s">
        <v>98</v>
      </c>
      <c r="O77">
        <v>98.93</v>
      </c>
      <c r="P77">
        <f t="shared" si="4"/>
        <v>7</v>
      </c>
      <c r="Q77">
        <f t="shared" si="5"/>
        <v>0</v>
      </c>
    </row>
    <row r="78" spans="2:17" x14ac:dyDescent="0.3">
      <c r="B78" t="s">
        <v>76</v>
      </c>
      <c r="C78">
        <v>99.38</v>
      </c>
      <c r="D78">
        <v>99.37</v>
      </c>
      <c r="E78">
        <v>99.19</v>
      </c>
      <c r="F78">
        <v>99.06</v>
      </c>
      <c r="G78">
        <v>99.25</v>
      </c>
      <c r="H78">
        <v>98.81</v>
      </c>
      <c r="I78">
        <v>98.94</v>
      </c>
      <c r="J78">
        <v>98.84</v>
      </c>
      <c r="K78" t="s">
        <v>98</v>
      </c>
      <c r="L78" t="s">
        <v>98</v>
      </c>
      <c r="M78" t="s">
        <v>98</v>
      </c>
      <c r="N78" t="s">
        <v>98</v>
      </c>
      <c r="O78">
        <v>99.1</v>
      </c>
      <c r="P78">
        <f t="shared" si="4"/>
        <v>7</v>
      </c>
      <c r="Q78">
        <f t="shared" si="5"/>
        <v>0</v>
      </c>
    </row>
    <row r="79" spans="2:17" x14ac:dyDescent="0.3">
      <c r="B79" t="s">
        <v>77</v>
      </c>
      <c r="C79">
        <v>99.33</v>
      </c>
      <c r="D79">
        <v>99.64</v>
      </c>
      <c r="E79">
        <v>99.86</v>
      </c>
      <c r="F79">
        <v>99.69</v>
      </c>
      <c r="G79">
        <v>99.37</v>
      </c>
      <c r="H79">
        <v>99.64</v>
      </c>
      <c r="I79">
        <v>99.38</v>
      </c>
      <c r="J79">
        <v>99.4</v>
      </c>
      <c r="K79" t="s">
        <v>98</v>
      </c>
      <c r="L79" t="s">
        <v>98</v>
      </c>
      <c r="M79" t="s">
        <v>98</v>
      </c>
      <c r="N79" t="s">
        <v>98</v>
      </c>
      <c r="O79">
        <v>99.54</v>
      </c>
      <c r="P79">
        <f t="shared" si="4"/>
        <v>7</v>
      </c>
      <c r="Q79">
        <f t="shared" si="5"/>
        <v>0</v>
      </c>
    </row>
    <row r="80" spans="2:17" x14ac:dyDescent="0.3">
      <c r="B80" t="s">
        <v>78</v>
      </c>
      <c r="C80">
        <v>98.95</v>
      </c>
      <c r="D80">
        <v>99.23</v>
      </c>
      <c r="E80">
        <v>99.12</v>
      </c>
      <c r="F80">
        <v>99.12</v>
      </c>
      <c r="G80">
        <v>99.01</v>
      </c>
      <c r="H80">
        <v>98.85</v>
      </c>
      <c r="I80">
        <v>99</v>
      </c>
      <c r="J80">
        <v>98.99</v>
      </c>
      <c r="K80" t="s">
        <v>98</v>
      </c>
      <c r="L80" t="s">
        <v>98</v>
      </c>
      <c r="M80" t="s">
        <v>98</v>
      </c>
      <c r="N80" t="s">
        <v>98</v>
      </c>
      <c r="O80">
        <v>99.03</v>
      </c>
      <c r="P80">
        <f t="shared" si="4"/>
        <v>7</v>
      </c>
      <c r="Q80">
        <f t="shared" si="5"/>
        <v>0</v>
      </c>
    </row>
    <row r="81" spans="2:17" x14ac:dyDescent="0.3">
      <c r="B81" t="s">
        <v>79</v>
      </c>
      <c r="C81">
        <v>99.47</v>
      </c>
      <c r="D81">
        <v>99.39</v>
      </c>
      <c r="E81">
        <v>99.09</v>
      </c>
      <c r="F81">
        <v>99.08</v>
      </c>
      <c r="G81">
        <v>99.16</v>
      </c>
      <c r="H81">
        <v>98.97</v>
      </c>
      <c r="I81">
        <v>98.78</v>
      </c>
      <c r="J81">
        <v>98.74</v>
      </c>
      <c r="K81" t="s">
        <v>98</v>
      </c>
      <c r="L81" t="s">
        <v>98</v>
      </c>
      <c r="M81" t="s">
        <v>98</v>
      </c>
      <c r="N81" t="s">
        <v>98</v>
      </c>
      <c r="O81">
        <v>99.08</v>
      </c>
      <c r="P81">
        <f t="shared" si="4"/>
        <v>7</v>
      </c>
      <c r="Q81">
        <f t="shared" si="5"/>
        <v>0</v>
      </c>
    </row>
    <row r="82" spans="2:17" x14ac:dyDescent="0.3">
      <c r="B82" t="s">
        <v>80</v>
      </c>
      <c r="C82">
        <v>99.07</v>
      </c>
      <c r="D82">
        <v>99.4</v>
      </c>
      <c r="E82">
        <v>99.88</v>
      </c>
      <c r="F82">
        <v>99.88</v>
      </c>
      <c r="G82">
        <v>99.3</v>
      </c>
      <c r="H82">
        <v>99.54</v>
      </c>
      <c r="I82">
        <v>99.72</v>
      </c>
      <c r="J82">
        <v>99.77</v>
      </c>
      <c r="K82" t="s">
        <v>98</v>
      </c>
      <c r="L82" t="s">
        <v>98</v>
      </c>
      <c r="M82" t="s">
        <v>98</v>
      </c>
      <c r="N82" t="s">
        <v>98</v>
      </c>
      <c r="O82">
        <v>99.57</v>
      </c>
      <c r="P82">
        <f t="shared" si="4"/>
        <v>7</v>
      </c>
      <c r="Q82">
        <f t="shared" si="5"/>
        <v>0</v>
      </c>
    </row>
    <row r="83" spans="2:17" x14ac:dyDescent="0.3">
      <c r="B83" t="s">
        <v>81</v>
      </c>
      <c r="C83">
        <v>99.87</v>
      </c>
      <c r="D83">
        <v>99.52</v>
      </c>
      <c r="E83">
        <v>99.68</v>
      </c>
      <c r="F83">
        <v>99.29</v>
      </c>
      <c r="G83">
        <v>99.18</v>
      </c>
      <c r="H83">
        <v>99.42</v>
      </c>
      <c r="I83">
        <v>99.19</v>
      </c>
      <c r="J83">
        <v>98.81</v>
      </c>
      <c r="K83" t="s">
        <v>98</v>
      </c>
      <c r="L83" t="s">
        <v>98</v>
      </c>
      <c r="M83" t="s">
        <v>98</v>
      </c>
      <c r="N83" t="s">
        <v>98</v>
      </c>
      <c r="O83">
        <v>99.45</v>
      </c>
      <c r="P83">
        <f t="shared" si="4"/>
        <v>7</v>
      </c>
      <c r="Q83">
        <f t="shared" si="5"/>
        <v>0</v>
      </c>
    </row>
    <row r="84" spans="2:17" x14ac:dyDescent="0.3">
      <c r="B84" t="s">
        <v>82</v>
      </c>
      <c r="C84">
        <v>99.44</v>
      </c>
      <c r="D84">
        <v>99.7</v>
      </c>
      <c r="E84">
        <v>99.22</v>
      </c>
      <c r="F84">
        <v>98.91</v>
      </c>
      <c r="G84">
        <v>99.43</v>
      </c>
      <c r="H84">
        <v>99.42</v>
      </c>
      <c r="I84">
        <v>99.18</v>
      </c>
      <c r="J84">
        <v>99.15</v>
      </c>
      <c r="K84" t="s">
        <v>98</v>
      </c>
      <c r="L84" t="s">
        <v>98</v>
      </c>
      <c r="M84" t="s">
        <v>98</v>
      </c>
      <c r="N84" t="s">
        <v>98</v>
      </c>
      <c r="O84">
        <v>99.31</v>
      </c>
      <c r="P84">
        <f t="shared" si="4"/>
        <v>7</v>
      </c>
      <c r="Q84">
        <f t="shared" si="5"/>
        <v>0</v>
      </c>
    </row>
    <row r="85" spans="2:17" x14ac:dyDescent="0.3">
      <c r="B85" t="s">
        <v>83</v>
      </c>
      <c r="C85">
        <v>99.43</v>
      </c>
      <c r="D85">
        <v>99.58</v>
      </c>
      <c r="E85">
        <v>99.2</v>
      </c>
      <c r="F85">
        <v>99.06</v>
      </c>
      <c r="G85">
        <v>99.36</v>
      </c>
      <c r="H85">
        <v>98.53</v>
      </c>
      <c r="I85">
        <v>99.28</v>
      </c>
      <c r="J85">
        <v>99.23</v>
      </c>
      <c r="K85" t="s">
        <v>98</v>
      </c>
      <c r="L85" t="s">
        <v>98</v>
      </c>
      <c r="M85" t="s">
        <v>98</v>
      </c>
      <c r="N85" t="s">
        <v>98</v>
      </c>
      <c r="O85">
        <v>99.21</v>
      </c>
      <c r="P85">
        <f t="shared" si="4"/>
        <v>7</v>
      </c>
      <c r="Q85">
        <f t="shared" si="5"/>
        <v>0</v>
      </c>
    </row>
    <row r="150" spans="6:6" x14ac:dyDescent="0.3">
      <c r="F150" s="1"/>
    </row>
    <row r="172" spans="3:10" x14ac:dyDescent="0.3">
      <c r="C172" s="1"/>
      <c r="D172" s="1"/>
      <c r="E172" s="1"/>
      <c r="F172" s="1"/>
      <c r="G172" s="1"/>
      <c r="H172" s="1"/>
      <c r="I172" s="1"/>
      <c r="J172" s="1"/>
    </row>
    <row r="237" spans="6:6" x14ac:dyDescent="0.3">
      <c r="F237" s="1"/>
    </row>
    <row r="259" spans="3:10" x14ac:dyDescent="0.3">
      <c r="C259" s="1"/>
      <c r="D259" s="1"/>
      <c r="E259" s="1"/>
      <c r="F259" s="1"/>
      <c r="G259" s="1"/>
      <c r="H259" s="1"/>
      <c r="I259" s="1"/>
      <c r="J259" s="1"/>
    </row>
    <row r="263" spans="3:10" x14ac:dyDescent="0.3">
      <c r="C263" s="1"/>
      <c r="D263" s="1"/>
      <c r="E263" s="1"/>
      <c r="F263" s="1"/>
      <c r="G263" s="1"/>
      <c r="H263" s="1"/>
      <c r="I263" s="1"/>
      <c r="J263" s="1"/>
    </row>
    <row r="264" spans="3:10" x14ac:dyDescent="0.3">
      <c r="C264" s="1"/>
      <c r="D264" s="1"/>
      <c r="E264" s="1"/>
      <c r="F264" s="1"/>
      <c r="G264" s="1"/>
      <c r="H264" s="1"/>
      <c r="I264" s="1"/>
      <c r="J264" s="1"/>
    </row>
    <row r="265" spans="3:10" x14ac:dyDescent="0.3">
      <c r="C265" s="1"/>
      <c r="D265" s="1"/>
      <c r="E265" s="1"/>
      <c r="F265" s="1"/>
      <c r="G265" s="1"/>
      <c r="H265" s="1"/>
      <c r="I265" s="1"/>
      <c r="J265" s="1"/>
    </row>
    <row r="267" spans="3:10" x14ac:dyDescent="0.3">
      <c r="C267" s="1"/>
      <c r="D267" s="1"/>
      <c r="E267" s="1"/>
      <c r="F267" s="1"/>
      <c r="G267" s="1"/>
      <c r="H267" s="1"/>
      <c r="I267" s="1"/>
      <c r="J267" s="1"/>
    </row>
    <row r="268" spans="3:10" x14ac:dyDescent="0.3">
      <c r="C268" s="1"/>
      <c r="D268" s="1"/>
      <c r="E268" s="1"/>
      <c r="F268" s="1"/>
      <c r="G268" s="1"/>
      <c r="H268" s="1"/>
      <c r="I268" s="1"/>
      <c r="J268" s="1"/>
    </row>
    <row r="269" spans="3:10" x14ac:dyDescent="0.3">
      <c r="C269" s="1"/>
      <c r="D269" s="1"/>
      <c r="E269" s="1"/>
      <c r="F269" s="1"/>
      <c r="G269" s="1"/>
      <c r="H269" s="1"/>
      <c r="I269" s="1"/>
      <c r="J269" s="1"/>
    </row>
    <row r="270" spans="3:10" x14ac:dyDescent="0.3">
      <c r="C270" s="1"/>
      <c r="D270" s="1"/>
      <c r="E270" s="1"/>
      <c r="F270" s="1"/>
      <c r="G270" s="1"/>
      <c r="H270" s="1"/>
      <c r="I270" s="1"/>
      <c r="J270" s="1"/>
    </row>
    <row r="271" spans="3:10" x14ac:dyDescent="0.3">
      <c r="C271" s="1"/>
      <c r="D271" s="1"/>
      <c r="E271" s="1"/>
      <c r="F271" s="1"/>
      <c r="G271" s="1"/>
      <c r="H271" s="1"/>
      <c r="I271" s="1"/>
      <c r="J271" s="1"/>
    </row>
    <row r="272" spans="3:10" x14ac:dyDescent="0.3">
      <c r="C272" s="1"/>
      <c r="D272" s="1"/>
      <c r="E272" s="1"/>
      <c r="F272" s="1"/>
      <c r="G272" s="1"/>
      <c r="H272" s="1"/>
      <c r="I272" s="1"/>
      <c r="J272" s="1"/>
    </row>
    <row r="273" spans="3:10" x14ac:dyDescent="0.3">
      <c r="C273" s="1"/>
      <c r="D273" s="1"/>
      <c r="E273" s="1"/>
      <c r="F273" s="1"/>
      <c r="G273" s="1"/>
      <c r="H273" s="1"/>
      <c r="I273" s="1"/>
      <c r="J273" s="1"/>
    </row>
    <row r="274" spans="3:10" x14ac:dyDescent="0.3">
      <c r="C274" s="1"/>
      <c r="D274" s="1"/>
      <c r="E274" s="1"/>
      <c r="F274" s="1"/>
      <c r="G274" s="1"/>
      <c r="H274" s="1"/>
      <c r="I274" s="1"/>
      <c r="J274" s="1"/>
    </row>
    <row r="275" spans="3:10" x14ac:dyDescent="0.3">
      <c r="C275" s="1"/>
      <c r="D275" s="1"/>
      <c r="E275" s="1"/>
      <c r="F275" s="1"/>
      <c r="G275" s="1"/>
      <c r="H275" s="1"/>
      <c r="I275" s="1"/>
      <c r="J275" s="1"/>
    </row>
    <row r="276" spans="3:10" x14ac:dyDescent="0.3">
      <c r="C276" s="1"/>
      <c r="D276" s="1"/>
      <c r="E276" s="1"/>
      <c r="F276" s="1"/>
      <c r="G276" s="1"/>
      <c r="H276" s="1"/>
      <c r="I276" s="1"/>
      <c r="J276" s="1"/>
    </row>
    <row r="277" spans="3:10" x14ac:dyDescent="0.3">
      <c r="C277" s="1"/>
      <c r="D277" s="1"/>
      <c r="E277" s="1"/>
      <c r="F277" s="1"/>
      <c r="G277" s="1"/>
      <c r="H277" s="1"/>
      <c r="I277" s="1"/>
      <c r="J277" s="1"/>
    </row>
    <row r="278" spans="3:10" x14ac:dyDescent="0.3">
      <c r="C278" s="1"/>
      <c r="D278" s="1"/>
      <c r="E278" s="1"/>
      <c r="F278" s="1"/>
      <c r="G278" s="1"/>
      <c r="H278" s="1"/>
      <c r="I278" s="1"/>
      <c r="J278" s="1"/>
    </row>
    <row r="279" spans="3:10" x14ac:dyDescent="0.3">
      <c r="C279" s="1"/>
      <c r="D279" s="1"/>
      <c r="E279" s="1"/>
      <c r="F279" s="1"/>
      <c r="G279" s="1"/>
      <c r="H279" s="1"/>
      <c r="I279" s="1"/>
      <c r="J279" s="1"/>
    </row>
    <row r="280" spans="3:10" x14ac:dyDescent="0.3">
      <c r="C280" s="1"/>
      <c r="D280" s="1"/>
      <c r="E280" s="1"/>
      <c r="F280" s="1"/>
      <c r="G280" s="1"/>
      <c r="H280" s="1"/>
      <c r="I280" s="1"/>
      <c r="J280" s="1"/>
    </row>
    <row r="281" spans="3:10" x14ac:dyDescent="0.3">
      <c r="C281" s="1"/>
      <c r="D281" s="1"/>
      <c r="E281" s="1"/>
      <c r="F281" s="1"/>
      <c r="G281" s="1"/>
      <c r="H281" s="1"/>
      <c r="I281" s="1"/>
      <c r="J281" s="1"/>
    </row>
    <row r="282" spans="3:10" x14ac:dyDescent="0.3">
      <c r="C282" s="1"/>
      <c r="D282" s="1"/>
      <c r="E282" s="1"/>
      <c r="F282" s="1"/>
      <c r="G282" s="1"/>
      <c r="H282" s="1"/>
      <c r="I282" s="1"/>
      <c r="J282" s="1"/>
    </row>
    <row r="283" spans="3:10" x14ac:dyDescent="0.3">
      <c r="C283" s="1"/>
      <c r="D283" s="1"/>
      <c r="E283" s="1"/>
      <c r="F283" s="1"/>
      <c r="G283" s="1"/>
      <c r="H283" s="1"/>
      <c r="I283" s="1"/>
      <c r="J283" s="1"/>
    </row>
    <row r="284" spans="3:10" x14ac:dyDescent="0.3">
      <c r="C284" s="1"/>
      <c r="D284" s="1"/>
      <c r="E284" s="1"/>
      <c r="F284" s="1"/>
      <c r="G284" s="1"/>
      <c r="H284" s="1"/>
      <c r="I284" s="1"/>
      <c r="J284" s="1"/>
    </row>
    <row r="285" spans="3:10" x14ac:dyDescent="0.3">
      <c r="C285" s="1"/>
      <c r="D285" s="1"/>
      <c r="E285" s="1"/>
      <c r="F285" s="1"/>
      <c r="G285" s="1"/>
      <c r="H285" s="1"/>
      <c r="I285" s="1"/>
      <c r="J285" s="1"/>
    </row>
    <row r="286" spans="3:10" x14ac:dyDescent="0.3">
      <c r="C286" s="1"/>
      <c r="D286" s="1"/>
      <c r="E286" s="1"/>
      <c r="F286" s="1"/>
      <c r="G286" s="1"/>
      <c r="H286" s="1"/>
      <c r="I286" s="1"/>
      <c r="J286" s="1"/>
    </row>
    <row r="287" spans="3:10" x14ac:dyDescent="0.3">
      <c r="C287" s="1"/>
      <c r="D287" s="1"/>
      <c r="E287" s="1"/>
      <c r="F287" s="1"/>
      <c r="G287" s="1"/>
      <c r="H287" s="1"/>
      <c r="I287" s="1"/>
      <c r="J287" s="1"/>
    </row>
    <row r="288" spans="3:10" x14ac:dyDescent="0.3">
      <c r="C288" s="1"/>
      <c r="D288" s="1"/>
      <c r="E288" s="1"/>
      <c r="F288" s="1"/>
      <c r="G288" s="1"/>
      <c r="H288" s="1"/>
      <c r="I288" s="1"/>
      <c r="J288" s="1"/>
    </row>
    <row r="289" spans="3:10" x14ac:dyDescent="0.3">
      <c r="C289" s="1"/>
      <c r="D289" s="1"/>
      <c r="E289" s="1"/>
      <c r="F289" s="1"/>
      <c r="G289" s="1"/>
      <c r="H289" s="1"/>
      <c r="I289" s="1"/>
      <c r="J289" s="1"/>
    </row>
    <row r="290" spans="3:10" x14ac:dyDescent="0.3">
      <c r="C290" s="1"/>
      <c r="D290" s="1"/>
      <c r="E290" s="1"/>
      <c r="F290" s="1"/>
      <c r="G290" s="1"/>
      <c r="H290" s="1"/>
      <c r="I290" s="1"/>
      <c r="J290" s="1"/>
    </row>
    <row r="291" spans="3:10" x14ac:dyDescent="0.3">
      <c r="C291" s="1"/>
      <c r="D291" s="1"/>
      <c r="E291" s="1"/>
      <c r="F291" s="1"/>
      <c r="G291" s="1"/>
      <c r="H291" s="1"/>
      <c r="I291" s="1"/>
      <c r="J291" s="1"/>
    </row>
    <row r="292" spans="3:10" x14ac:dyDescent="0.3">
      <c r="C292" s="1"/>
      <c r="D292" s="1"/>
      <c r="E292" s="1"/>
      <c r="F292" s="1"/>
      <c r="G292" s="1"/>
      <c r="H292" s="1"/>
      <c r="I292" s="1"/>
      <c r="J292" s="1"/>
    </row>
    <row r="293" spans="3:10" x14ac:dyDescent="0.3">
      <c r="C293" s="1"/>
      <c r="D293" s="1"/>
      <c r="E293" s="1"/>
      <c r="F293" s="1"/>
      <c r="G293" s="1"/>
      <c r="H293" s="1"/>
      <c r="I293" s="1"/>
      <c r="J293" s="1"/>
    </row>
    <row r="294" spans="3:10" x14ac:dyDescent="0.3">
      <c r="C294" s="1"/>
      <c r="D294" s="1"/>
      <c r="E294" s="1"/>
      <c r="F294" s="1"/>
      <c r="G294" s="1"/>
      <c r="H294" s="1"/>
      <c r="I294" s="1"/>
      <c r="J294" s="1"/>
    </row>
    <row r="295" spans="3:10" x14ac:dyDescent="0.3">
      <c r="C295" s="1"/>
      <c r="D295" s="1"/>
      <c r="E295" s="1"/>
      <c r="F295" s="1"/>
      <c r="G295" s="1"/>
      <c r="H295" s="1"/>
      <c r="I295" s="1"/>
      <c r="J295" s="1"/>
    </row>
    <row r="297" spans="3:10" x14ac:dyDescent="0.3">
      <c r="C297" s="1"/>
      <c r="D297" s="1"/>
      <c r="E297" s="1"/>
      <c r="F297" s="1"/>
      <c r="G297" s="1"/>
      <c r="H297" s="1"/>
      <c r="I297" s="1"/>
      <c r="J297" s="1"/>
    </row>
    <row r="298" spans="3:10" x14ac:dyDescent="0.3">
      <c r="C298" s="1"/>
      <c r="D298" s="1"/>
      <c r="E298" s="1"/>
      <c r="F298" s="1"/>
      <c r="G298" s="1"/>
      <c r="H298" s="1"/>
      <c r="I298" s="1"/>
      <c r="J298" s="1"/>
    </row>
    <row r="300" spans="3:10" x14ac:dyDescent="0.3">
      <c r="C300" s="1"/>
      <c r="D300" s="1"/>
      <c r="E300" s="1"/>
      <c r="F300" s="1"/>
      <c r="G300" s="1"/>
      <c r="H300" s="1"/>
      <c r="I300" s="1"/>
      <c r="J300" s="1"/>
    </row>
    <row r="301" spans="3:10" x14ac:dyDescent="0.3">
      <c r="C301" s="1"/>
      <c r="D301" s="1"/>
      <c r="E301" s="1"/>
      <c r="F301" s="1"/>
      <c r="G301" s="1"/>
      <c r="H301" s="1"/>
      <c r="I301" s="1"/>
      <c r="J301" s="1"/>
    </row>
    <row r="302" spans="3:10" x14ac:dyDescent="0.3">
      <c r="C302" s="1"/>
      <c r="D302" s="1"/>
      <c r="E302" s="1"/>
      <c r="F302" s="1"/>
      <c r="G302" s="1"/>
      <c r="H302" s="1"/>
      <c r="I302" s="1"/>
      <c r="J302" s="1"/>
    </row>
    <row r="303" spans="3:10" x14ac:dyDescent="0.3">
      <c r="C303" s="1"/>
      <c r="D303" s="1"/>
      <c r="E303" s="1"/>
      <c r="F303" s="1"/>
      <c r="G303" s="1"/>
      <c r="H303" s="1"/>
      <c r="I303" s="1"/>
      <c r="J303" s="1"/>
    </row>
    <row r="304" spans="3:10" x14ac:dyDescent="0.3">
      <c r="C304" s="1"/>
      <c r="D304" s="1"/>
      <c r="E304" s="1"/>
      <c r="F304" s="1"/>
      <c r="G304" s="1"/>
      <c r="H304" s="1"/>
      <c r="I304" s="1"/>
      <c r="J304" s="1"/>
    </row>
    <row r="305" spans="3:10" x14ac:dyDescent="0.3">
      <c r="C305" s="1"/>
      <c r="D305" s="1"/>
      <c r="E305" s="1"/>
      <c r="F305" s="1"/>
      <c r="G305" s="1"/>
      <c r="H305" s="1"/>
      <c r="I305" s="1"/>
      <c r="J305" s="1"/>
    </row>
    <row r="306" spans="3:10" x14ac:dyDescent="0.3">
      <c r="C306" s="1"/>
      <c r="D306" s="1"/>
      <c r="E306" s="1"/>
      <c r="F306" s="1"/>
      <c r="G306" s="1"/>
      <c r="H306" s="1"/>
      <c r="I306" s="1"/>
      <c r="J306" s="1"/>
    </row>
    <row r="307" spans="3:10" x14ac:dyDescent="0.3">
      <c r="C307" s="1"/>
      <c r="D307" s="1"/>
      <c r="E307" s="1"/>
      <c r="F307" s="1"/>
      <c r="G307" s="1"/>
      <c r="H307" s="1"/>
      <c r="I307" s="1"/>
      <c r="J307" s="1"/>
    </row>
    <row r="308" spans="3:10" x14ac:dyDescent="0.3">
      <c r="C308" s="1"/>
      <c r="D308" s="1"/>
      <c r="E308" s="1"/>
      <c r="F308" s="1"/>
      <c r="G308" s="1"/>
      <c r="H308" s="1"/>
      <c r="I308" s="1"/>
      <c r="J308" s="1"/>
    </row>
    <row r="309" spans="3:10" x14ac:dyDescent="0.3">
      <c r="C309" s="1"/>
      <c r="D309" s="1"/>
      <c r="E309" s="1"/>
      <c r="F309" s="1"/>
      <c r="G309" s="1"/>
      <c r="H309" s="1"/>
      <c r="I309" s="1"/>
      <c r="J309" s="1"/>
    </row>
    <row r="310" spans="3:10" x14ac:dyDescent="0.3">
      <c r="C310" s="1"/>
      <c r="D310" s="1"/>
      <c r="E310" s="1"/>
      <c r="F310" s="1"/>
      <c r="G310" s="1"/>
      <c r="H310" s="1"/>
      <c r="I310" s="1"/>
      <c r="J310" s="1"/>
    </row>
    <row r="311" spans="3:10" x14ac:dyDescent="0.3">
      <c r="C311" s="1"/>
      <c r="D311" s="1"/>
      <c r="E311" s="1"/>
      <c r="F311" s="1"/>
      <c r="G311" s="1"/>
      <c r="H311" s="1"/>
      <c r="I311" s="1"/>
      <c r="J311" s="1"/>
    </row>
    <row r="313" spans="3:10" x14ac:dyDescent="0.3">
      <c r="C313" s="1"/>
      <c r="D313" s="1"/>
      <c r="E313" s="1"/>
      <c r="F313" s="1"/>
      <c r="G313" s="1"/>
      <c r="H313" s="1"/>
      <c r="I313" s="1"/>
      <c r="J313" s="1"/>
    </row>
    <row r="315" spans="3:10" x14ac:dyDescent="0.3">
      <c r="C315" s="1"/>
      <c r="D315" s="1"/>
      <c r="E315" s="1"/>
      <c r="F315" s="1"/>
      <c r="G315" s="1"/>
      <c r="H315" s="1"/>
      <c r="I315" s="1"/>
      <c r="J315" s="1"/>
    </row>
    <row r="316" spans="3:10" x14ac:dyDescent="0.3">
      <c r="C316" s="1"/>
      <c r="D316" s="1"/>
      <c r="E316" s="1"/>
      <c r="F316" s="1"/>
      <c r="G316" s="1"/>
      <c r="H316" s="1"/>
      <c r="I316" s="1"/>
      <c r="J316" s="1"/>
    </row>
    <row r="317" spans="3:10" x14ac:dyDescent="0.3">
      <c r="C317" s="1"/>
      <c r="D317" s="1"/>
      <c r="E317" s="1"/>
      <c r="F317" s="1"/>
      <c r="G317" s="1"/>
      <c r="H317" s="1"/>
      <c r="I317" s="1"/>
      <c r="J317" s="1"/>
    </row>
    <row r="319" spans="3:10" x14ac:dyDescent="0.3">
      <c r="C319" s="1"/>
      <c r="D319" s="1"/>
      <c r="E319" s="1"/>
      <c r="F319" s="1"/>
      <c r="G319" s="1"/>
      <c r="H319" s="1"/>
      <c r="I319" s="1"/>
      <c r="J319" s="1"/>
    </row>
    <row r="320" spans="3:10" x14ac:dyDescent="0.3">
      <c r="C320" s="1"/>
      <c r="D320" s="1"/>
      <c r="E320" s="1"/>
      <c r="F320" s="1"/>
      <c r="G320" s="1"/>
      <c r="H320" s="1"/>
      <c r="I320" s="1"/>
      <c r="J320" s="1"/>
    </row>
    <row r="321" spans="3:10" x14ac:dyDescent="0.3">
      <c r="C321" s="1"/>
      <c r="D321" s="1"/>
      <c r="E321" s="1"/>
      <c r="F321" s="1"/>
      <c r="G321" s="1"/>
      <c r="H321" s="1"/>
      <c r="I321" s="1"/>
      <c r="J321" s="1"/>
    </row>
    <row r="322" spans="3:10" x14ac:dyDescent="0.3">
      <c r="C322" s="1"/>
      <c r="D322" s="1"/>
      <c r="E322" s="1"/>
      <c r="F322" s="1"/>
      <c r="G322" s="1"/>
      <c r="H322" s="1"/>
      <c r="I322" s="1"/>
      <c r="J322" s="1"/>
    </row>
    <row r="323" spans="3:10" x14ac:dyDescent="0.3">
      <c r="C323" s="1"/>
      <c r="D323" s="1"/>
      <c r="E323" s="1"/>
      <c r="F323" s="1"/>
      <c r="G323" s="1"/>
      <c r="H323" s="1"/>
      <c r="I323" s="1"/>
      <c r="J323" s="1"/>
    </row>
    <row r="324" spans="3:10" x14ac:dyDescent="0.3">
      <c r="C324" s="1"/>
      <c r="D324" s="1"/>
      <c r="E324" s="1"/>
      <c r="F324" s="1"/>
      <c r="G324" s="1"/>
      <c r="H324" s="1"/>
      <c r="I324" s="1"/>
      <c r="J324" s="1"/>
    </row>
    <row r="325" spans="3:10" x14ac:dyDescent="0.3">
      <c r="C325" s="1"/>
      <c r="D325" s="1"/>
      <c r="E325" s="1"/>
      <c r="F325" s="1"/>
      <c r="G325" s="1"/>
      <c r="H325" s="1"/>
      <c r="I325" s="1"/>
      <c r="J325" s="1"/>
    </row>
    <row r="326" spans="3:10" x14ac:dyDescent="0.3">
      <c r="C326" s="1"/>
      <c r="D326" s="1"/>
      <c r="E326" s="1"/>
      <c r="F326" s="1"/>
      <c r="G326" s="1"/>
      <c r="H326" s="1"/>
      <c r="I326" s="1"/>
      <c r="J326" s="1"/>
    </row>
    <row r="327" spans="3:10" x14ac:dyDescent="0.3">
      <c r="C327" s="1"/>
      <c r="D327" s="1"/>
      <c r="E327" s="1"/>
      <c r="F327" s="1"/>
      <c r="G327" s="1"/>
      <c r="H327" s="1"/>
      <c r="I327" s="1"/>
      <c r="J327" s="1"/>
    </row>
    <row r="328" spans="3:10" x14ac:dyDescent="0.3">
      <c r="C328" s="1"/>
      <c r="D328" s="1"/>
      <c r="E328" s="1"/>
      <c r="F328" s="1"/>
      <c r="G328" s="1"/>
      <c r="H328" s="1"/>
      <c r="I328" s="1"/>
      <c r="J328" s="1"/>
    </row>
    <row r="329" spans="3:10" x14ac:dyDescent="0.3">
      <c r="C329" s="1"/>
      <c r="D329" s="1"/>
      <c r="E329" s="1"/>
      <c r="F329" s="1"/>
      <c r="G329" s="1"/>
      <c r="H329" s="1"/>
      <c r="I329" s="1"/>
      <c r="J329" s="1"/>
    </row>
    <row r="330" spans="3:10" x14ac:dyDescent="0.3">
      <c r="C330" s="1"/>
      <c r="D330" s="1"/>
      <c r="E330" s="1"/>
      <c r="F330" s="1"/>
      <c r="G330" s="1"/>
      <c r="H330" s="1"/>
      <c r="I330" s="1"/>
      <c r="J330" s="1"/>
    </row>
    <row r="331" spans="3:10" x14ac:dyDescent="0.3">
      <c r="C331" s="1"/>
      <c r="D331" s="1"/>
      <c r="E331" s="1"/>
      <c r="F331" s="1"/>
      <c r="G331" s="1"/>
      <c r="H331" s="1"/>
      <c r="I331" s="1"/>
      <c r="J331" s="1"/>
    </row>
    <row r="332" spans="3:10" x14ac:dyDescent="0.3">
      <c r="C332" s="1"/>
      <c r="D332" s="1"/>
      <c r="E332" s="1"/>
      <c r="F332" s="1"/>
      <c r="G332" s="1"/>
      <c r="H332" s="1"/>
      <c r="I332" s="1"/>
      <c r="J332" s="1"/>
    </row>
    <row r="333" spans="3:10" x14ac:dyDescent="0.3">
      <c r="C333" s="1"/>
      <c r="D333" s="1"/>
      <c r="E333" s="1"/>
      <c r="F333" s="1"/>
      <c r="G333" s="1"/>
      <c r="H333" s="1"/>
      <c r="I333" s="1"/>
      <c r="J333" s="1"/>
    </row>
    <row r="334" spans="3:10" x14ac:dyDescent="0.3">
      <c r="C334" s="1"/>
      <c r="D334" s="1"/>
      <c r="E334" s="1"/>
      <c r="F334" s="1"/>
      <c r="G334" s="1"/>
      <c r="H334" s="1"/>
      <c r="I334" s="1"/>
      <c r="J334" s="1"/>
    </row>
    <row r="335" spans="3:10" x14ac:dyDescent="0.3">
      <c r="C335" s="1"/>
      <c r="D335" s="1"/>
      <c r="E335" s="1"/>
      <c r="F335" s="1"/>
      <c r="G335" s="1"/>
      <c r="H335" s="1"/>
      <c r="I335" s="1"/>
      <c r="J335" s="1"/>
    </row>
    <row r="336" spans="3:10" x14ac:dyDescent="0.3">
      <c r="C336" s="1"/>
      <c r="D336" s="1"/>
      <c r="E336" s="1"/>
      <c r="F336" s="1"/>
      <c r="G336" s="1"/>
      <c r="H336" s="1"/>
      <c r="I336" s="1"/>
      <c r="J336" s="1"/>
    </row>
    <row r="337" spans="3:10" x14ac:dyDescent="0.3">
      <c r="C337" s="1"/>
      <c r="D337" s="1"/>
      <c r="E337" s="1"/>
      <c r="F337" s="1"/>
      <c r="G337" s="1"/>
      <c r="H337" s="1"/>
      <c r="I337" s="1"/>
      <c r="J337" s="1"/>
    </row>
    <row r="338" spans="3:10" x14ac:dyDescent="0.3">
      <c r="C338" s="1"/>
      <c r="D338" s="1"/>
      <c r="E338" s="1"/>
      <c r="F338" s="1"/>
      <c r="G338" s="1"/>
      <c r="H338" s="1"/>
      <c r="I338" s="1"/>
      <c r="J338" s="1"/>
    </row>
    <row r="339" spans="3:10" x14ac:dyDescent="0.3">
      <c r="C339" s="1"/>
      <c r="D339" s="1"/>
      <c r="E339" s="1"/>
      <c r="F339" s="1"/>
      <c r="G339" s="1"/>
      <c r="H339" s="1"/>
      <c r="I339" s="1"/>
      <c r="J339" s="1"/>
    </row>
    <row r="340" spans="3:10" x14ac:dyDescent="0.3">
      <c r="C340" s="1"/>
      <c r="D340" s="1"/>
      <c r="E340" s="1"/>
      <c r="F340" s="1"/>
      <c r="G340" s="1"/>
      <c r="H340" s="1"/>
      <c r="I340" s="1"/>
      <c r="J340" s="1"/>
    </row>
    <row r="341" spans="3:10" x14ac:dyDescent="0.3">
      <c r="C341" s="1"/>
      <c r="D341" s="1"/>
      <c r="E341" s="1"/>
      <c r="F341" s="1"/>
      <c r="G341" s="1"/>
      <c r="H341" s="1"/>
      <c r="I341" s="1"/>
      <c r="J341" s="1"/>
    </row>
    <row r="342" spans="3:10" x14ac:dyDescent="0.3">
      <c r="C342" s="1"/>
      <c r="D342" s="1"/>
      <c r="E342" s="1"/>
      <c r="F342" s="1"/>
      <c r="G342" s="1"/>
      <c r="H342" s="1"/>
      <c r="I342" s="1"/>
      <c r="J342" s="1"/>
    </row>
    <row r="343" spans="3:10" x14ac:dyDescent="0.3">
      <c r="C343" s="1"/>
      <c r="D343" s="1"/>
      <c r="E343" s="1"/>
      <c r="F343" s="1"/>
      <c r="G343" s="1"/>
      <c r="H343" s="1"/>
      <c r="I343" s="1"/>
      <c r="J343" s="1"/>
    </row>
    <row r="344" spans="3:10" x14ac:dyDescent="0.3">
      <c r="C344" s="1"/>
      <c r="D344" s="1"/>
      <c r="E344" s="1"/>
      <c r="F344" s="1"/>
      <c r="G344" s="1"/>
      <c r="H344" s="1"/>
      <c r="I344" s="1"/>
      <c r="J344" s="1"/>
    </row>
    <row r="345" spans="3:10" x14ac:dyDescent="0.3">
      <c r="C345" s="1"/>
      <c r="D345" s="1"/>
      <c r="E345" s="1"/>
      <c r="F345" s="1"/>
      <c r="G345" s="1"/>
      <c r="H345" s="1"/>
      <c r="I345" s="1"/>
      <c r="J345" s="1"/>
    </row>
    <row r="346" spans="3:10" x14ac:dyDescent="0.3">
      <c r="C346" s="1"/>
      <c r="D346" s="1"/>
      <c r="E346" s="1"/>
      <c r="F346" s="1"/>
      <c r="G346" s="1"/>
      <c r="H346" s="1"/>
      <c r="I346" s="1"/>
      <c r="J346" s="1"/>
    </row>
  </sheetData>
  <autoFilter ref="C2:Q2" xr:uid="{3A3FAD48-3807-41BF-AD9C-FE15D4ABD59E}">
    <sortState xmlns:xlrd2="http://schemas.microsoft.com/office/spreadsheetml/2017/richdata2" ref="C3:Q85">
      <sortCondition descending="1" ref="Q2"/>
    </sortState>
  </autoFilter>
  <pageMargins left="0.7" right="0.7" top="0.75" bottom="0.75" header="0.3" footer="0.3"/>
  <ignoredErrors>
    <ignoredError sqref="P3:Q8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1F06-31FE-47C2-B79C-7370A42DE1E8}">
  <sheetPr>
    <tabColor rgb="FFFFFF00"/>
  </sheetPr>
  <dimension ref="A1:Q174"/>
  <sheetViews>
    <sheetView topLeftCell="A66" workbookViewId="0">
      <selection activeCell="J82" sqref="J82"/>
    </sheetView>
  </sheetViews>
  <sheetFormatPr defaultRowHeight="14.4" x14ac:dyDescent="0.3"/>
  <sheetData>
    <row r="1" spans="1:17" x14ac:dyDescent="0.3">
      <c r="A1" t="s">
        <v>100</v>
      </c>
    </row>
    <row r="2" spans="1:17" x14ac:dyDescent="0.3"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P2" t="s">
        <v>105</v>
      </c>
      <c r="Q2" t="s">
        <v>106</v>
      </c>
    </row>
    <row r="3" spans="1:17" x14ac:dyDescent="0.3">
      <c r="B3" t="s">
        <v>0</v>
      </c>
      <c r="C3">
        <v>97.04</v>
      </c>
      <c r="D3">
        <v>95.15</v>
      </c>
      <c r="E3">
        <v>98.08</v>
      </c>
      <c r="F3">
        <v>97.31</v>
      </c>
      <c r="G3">
        <v>98.33</v>
      </c>
      <c r="H3">
        <v>97.84</v>
      </c>
      <c r="I3">
        <v>98.31</v>
      </c>
      <c r="J3">
        <v>97</v>
      </c>
      <c r="K3" t="s">
        <v>98</v>
      </c>
      <c r="L3" t="s">
        <v>98</v>
      </c>
      <c r="M3" t="s">
        <v>98</v>
      </c>
      <c r="N3" t="s">
        <v>98</v>
      </c>
      <c r="O3">
        <v>97.43</v>
      </c>
      <c r="P3">
        <f>COUNTIF(C3:I3,"&gt;=91.71")</f>
        <v>7</v>
      </c>
      <c r="Q3">
        <f>COUNTIF(C3:I3,"&lt;91.71")</f>
        <v>0</v>
      </c>
    </row>
    <row r="4" spans="1:17" x14ac:dyDescent="0.3">
      <c r="B4" t="s">
        <v>1</v>
      </c>
      <c r="C4">
        <v>98.12</v>
      </c>
      <c r="D4">
        <v>97.67</v>
      </c>
      <c r="E4">
        <v>98.81</v>
      </c>
      <c r="F4">
        <v>99.21</v>
      </c>
      <c r="G4">
        <v>99.57</v>
      </c>
      <c r="H4">
        <v>98.66</v>
      </c>
      <c r="I4">
        <v>96.67</v>
      </c>
      <c r="J4">
        <v>96.6</v>
      </c>
      <c r="K4" t="s">
        <v>98</v>
      </c>
      <c r="L4" t="s">
        <v>98</v>
      </c>
      <c r="M4" t="s">
        <v>98</v>
      </c>
      <c r="N4" t="s">
        <v>98</v>
      </c>
      <c r="O4">
        <v>97.9</v>
      </c>
      <c r="P4">
        <f t="shared" ref="P4:P67" si="0">COUNTIF(C4:I4,"&gt;=91.71")</f>
        <v>7</v>
      </c>
      <c r="Q4">
        <f t="shared" ref="Q4:Q67" si="1">COUNTIF(C4:I4,"&lt;91.71")</f>
        <v>0</v>
      </c>
    </row>
    <row r="5" spans="1:17" x14ac:dyDescent="0.3">
      <c r="B5" t="s">
        <v>2</v>
      </c>
      <c r="C5">
        <v>94.94</v>
      </c>
      <c r="D5">
        <v>95.47</v>
      </c>
      <c r="E5">
        <v>98.95</v>
      </c>
      <c r="F5">
        <v>98.26</v>
      </c>
      <c r="G5">
        <v>93.29</v>
      </c>
      <c r="H5">
        <v>91.31</v>
      </c>
      <c r="I5">
        <v>90.84</v>
      </c>
      <c r="J5">
        <v>91.48</v>
      </c>
      <c r="K5" t="s">
        <v>98</v>
      </c>
      <c r="L5" t="s">
        <v>98</v>
      </c>
      <c r="M5" t="s">
        <v>98</v>
      </c>
      <c r="N5" t="s">
        <v>98</v>
      </c>
      <c r="O5">
        <v>94.01</v>
      </c>
      <c r="P5">
        <f t="shared" si="0"/>
        <v>5</v>
      </c>
      <c r="Q5">
        <f t="shared" si="1"/>
        <v>2</v>
      </c>
    </row>
    <row r="6" spans="1:17" x14ac:dyDescent="0.3">
      <c r="B6" t="s">
        <v>3</v>
      </c>
      <c r="C6">
        <v>100</v>
      </c>
      <c r="D6">
        <v>91.67</v>
      </c>
      <c r="E6">
        <v>100</v>
      </c>
      <c r="F6">
        <v>88.89</v>
      </c>
      <c r="G6">
        <v>88.89</v>
      </c>
      <c r="H6">
        <v>100</v>
      </c>
      <c r="I6">
        <v>100</v>
      </c>
      <c r="J6">
        <v>93.33</v>
      </c>
      <c r="K6" t="s">
        <v>98</v>
      </c>
      <c r="L6" t="s">
        <v>98</v>
      </c>
      <c r="M6" t="s">
        <v>98</v>
      </c>
      <c r="N6" t="s">
        <v>98</v>
      </c>
      <c r="O6">
        <v>92.65</v>
      </c>
      <c r="P6">
        <f t="shared" si="0"/>
        <v>4</v>
      </c>
      <c r="Q6">
        <f t="shared" si="1"/>
        <v>3</v>
      </c>
    </row>
    <row r="7" spans="1:17" x14ac:dyDescent="0.3">
      <c r="B7" t="s">
        <v>4</v>
      </c>
      <c r="C7">
        <v>97.52</v>
      </c>
      <c r="D7">
        <v>95.8</v>
      </c>
      <c r="E7">
        <v>94.87</v>
      </c>
      <c r="F7">
        <v>93.17</v>
      </c>
      <c r="G7">
        <v>91.07</v>
      </c>
      <c r="H7">
        <v>93.62</v>
      </c>
      <c r="I7">
        <v>95.43</v>
      </c>
      <c r="J7">
        <v>95.98</v>
      </c>
      <c r="K7" t="s">
        <v>98</v>
      </c>
      <c r="L7" t="s">
        <v>98</v>
      </c>
      <c r="M7" t="s">
        <v>98</v>
      </c>
      <c r="N7" t="s">
        <v>98</v>
      </c>
      <c r="O7">
        <v>94.46</v>
      </c>
      <c r="P7">
        <f t="shared" si="0"/>
        <v>6</v>
      </c>
      <c r="Q7">
        <f t="shared" si="1"/>
        <v>1</v>
      </c>
    </row>
    <row r="8" spans="1:17" x14ac:dyDescent="0.3">
      <c r="B8" t="s">
        <v>5</v>
      </c>
      <c r="C8">
        <v>96.59</v>
      </c>
      <c r="D8">
        <v>94.15</v>
      </c>
      <c r="E8">
        <v>96.02</v>
      </c>
      <c r="F8">
        <v>94.64</v>
      </c>
      <c r="G8">
        <v>94.34</v>
      </c>
      <c r="H8">
        <v>95.34</v>
      </c>
      <c r="I8">
        <v>92.05</v>
      </c>
      <c r="J8">
        <v>92.8</v>
      </c>
      <c r="K8" t="s">
        <v>98</v>
      </c>
      <c r="L8" t="s">
        <v>98</v>
      </c>
      <c r="M8" t="s">
        <v>98</v>
      </c>
      <c r="N8" t="s">
        <v>98</v>
      </c>
      <c r="O8">
        <v>94.43</v>
      </c>
      <c r="P8">
        <f t="shared" si="0"/>
        <v>7</v>
      </c>
      <c r="Q8">
        <f t="shared" si="1"/>
        <v>0</v>
      </c>
    </row>
    <row r="9" spans="1:17" x14ac:dyDescent="0.3">
      <c r="B9" t="s">
        <v>6</v>
      </c>
      <c r="C9">
        <v>100</v>
      </c>
      <c r="D9">
        <v>100</v>
      </c>
      <c r="E9">
        <v>100</v>
      </c>
      <c r="F9">
        <v>92.86</v>
      </c>
      <c r="G9">
        <v>93.33</v>
      </c>
      <c r="H9">
        <v>88.89</v>
      </c>
      <c r="I9">
        <v>100</v>
      </c>
      <c r="J9">
        <v>100</v>
      </c>
      <c r="K9" t="s">
        <v>98</v>
      </c>
      <c r="L9" t="s">
        <v>98</v>
      </c>
      <c r="M9" t="s">
        <v>98</v>
      </c>
      <c r="N9" t="s">
        <v>98</v>
      </c>
      <c r="O9">
        <v>95.59</v>
      </c>
      <c r="P9">
        <f t="shared" si="0"/>
        <v>6</v>
      </c>
      <c r="Q9">
        <f t="shared" si="1"/>
        <v>1</v>
      </c>
    </row>
    <row r="10" spans="1:17" x14ac:dyDescent="0.3">
      <c r="B10" t="s">
        <v>7</v>
      </c>
      <c r="C10">
        <v>100</v>
      </c>
      <c r="D10">
        <v>92.31</v>
      </c>
      <c r="E10">
        <v>91.67</v>
      </c>
      <c r="F10">
        <v>96.15</v>
      </c>
      <c r="G10">
        <v>96</v>
      </c>
      <c r="H10">
        <v>92.59</v>
      </c>
      <c r="I10">
        <v>97.14</v>
      </c>
      <c r="J10">
        <v>97.06</v>
      </c>
      <c r="K10" t="s">
        <v>98</v>
      </c>
      <c r="L10" t="s">
        <v>98</v>
      </c>
      <c r="M10" t="s">
        <v>98</v>
      </c>
      <c r="N10" t="s">
        <v>98</v>
      </c>
      <c r="O10">
        <v>95.35</v>
      </c>
      <c r="P10">
        <f t="shared" si="0"/>
        <v>6</v>
      </c>
      <c r="Q10">
        <f t="shared" si="1"/>
        <v>1</v>
      </c>
    </row>
    <row r="11" spans="1:17" x14ac:dyDescent="0.3">
      <c r="B11" t="s">
        <v>8</v>
      </c>
      <c r="C11">
        <v>96.05</v>
      </c>
      <c r="D11">
        <v>92</v>
      </c>
      <c r="E11">
        <v>95.16</v>
      </c>
      <c r="F11">
        <v>98.53</v>
      </c>
      <c r="G11">
        <v>89.16</v>
      </c>
      <c r="H11">
        <v>91.92</v>
      </c>
      <c r="I11">
        <v>97.75</v>
      </c>
      <c r="J11">
        <v>97.75</v>
      </c>
      <c r="K11" t="s">
        <v>98</v>
      </c>
      <c r="L11" t="s">
        <v>98</v>
      </c>
      <c r="M11" t="s">
        <v>98</v>
      </c>
      <c r="N11" t="s">
        <v>98</v>
      </c>
      <c r="O11">
        <v>94.7</v>
      </c>
      <c r="P11">
        <f t="shared" si="0"/>
        <v>6</v>
      </c>
      <c r="Q11">
        <f t="shared" si="1"/>
        <v>1</v>
      </c>
    </row>
    <row r="12" spans="1:17" x14ac:dyDescent="0.3">
      <c r="B12" t="s">
        <v>9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 t="s">
        <v>98</v>
      </c>
      <c r="L12" t="s">
        <v>98</v>
      </c>
      <c r="M12" t="s">
        <v>98</v>
      </c>
      <c r="N12" t="s">
        <v>98</v>
      </c>
      <c r="O12">
        <v>100</v>
      </c>
      <c r="P12">
        <f t="shared" si="0"/>
        <v>7</v>
      </c>
      <c r="Q12">
        <f t="shared" si="1"/>
        <v>0</v>
      </c>
    </row>
    <row r="13" spans="1:17" x14ac:dyDescent="0.3">
      <c r="B13" t="s">
        <v>10</v>
      </c>
      <c r="C13">
        <v>94.38</v>
      </c>
      <c r="D13">
        <v>93.23</v>
      </c>
      <c r="E13">
        <v>93.85</v>
      </c>
      <c r="F13">
        <v>95.66</v>
      </c>
      <c r="G13">
        <v>93.01</v>
      </c>
      <c r="H13">
        <v>95.36</v>
      </c>
      <c r="I13">
        <v>97.09</v>
      </c>
      <c r="J13">
        <v>97.1</v>
      </c>
      <c r="K13" t="s">
        <v>98</v>
      </c>
      <c r="L13" t="s">
        <v>98</v>
      </c>
      <c r="M13" t="s">
        <v>98</v>
      </c>
      <c r="N13" t="s">
        <v>98</v>
      </c>
      <c r="O13">
        <v>95.12</v>
      </c>
      <c r="P13">
        <f t="shared" si="0"/>
        <v>7</v>
      </c>
      <c r="Q13">
        <f t="shared" si="1"/>
        <v>0</v>
      </c>
    </row>
    <row r="14" spans="1:17" x14ac:dyDescent="0.3">
      <c r="B14" t="s">
        <v>11</v>
      </c>
      <c r="C14">
        <v>96.08</v>
      </c>
      <c r="D14">
        <v>97.67</v>
      </c>
      <c r="E14">
        <v>100</v>
      </c>
      <c r="F14">
        <v>98.31</v>
      </c>
      <c r="G14">
        <v>100</v>
      </c>
      <c r="H14">
        <v>98.73</v>
      </c>
      <c r="I14">
        <v>95.83</v>
      </c>
      <c r="J14">
        <v>95.71</v>
      </c>
      <c r="K14" t="s">
        <v>98</v>
      </c>
      <c r="L14" t="s">
        <v>98</v>
      </c>
      <c r="M14" t="s">
        <v>98</v>
      </c>
      <c r="N14" t="s">
        <v>98</v>
      </c>
      <c r="O14">
        <v>97.06</v>
      </c>
      <c r="P14">
        <f t="shared" si="0"/>
        <v>7</v>
      </c>
      <c r="Q14">
        <f t="shared" si="1"/>
        <v>0</v>
      </c>
    </row>
    <row r="15" spans="1:17" x14ac:dyDescent="0.3">
      <c r="B15" t="s">
        <v>12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88.89</v>
      </c>
      <c r="I15">
        <v>92.31</v>
      </c>
      <c r="J15">
        <v>91.67</v>
      </c>
      <c r="K15" t="s">
        <v>98</v>
      </c>
      <c r="L15" t="s">
        <v>98</v>
      </c>
      <c r="M15" t="s">
        <v>98</v>
      </c>
      <c r="N15" t="s">
        <v>98</v>
      </c>
      <c r="O15">
        <v>91.18</v>
      </c>
      <c r="P15">
        <f t="shared" si="0"/>
        <v>6</v>
      </c>
      <c r="Q15">
        <f t="shared" si="1"/>
        <v>1</v>
      </c>
    </row>
    <row r="16" spans="1:17" x14ac:dyDescent="0.3">
      <c r="B16" t="s">
        <v>13</v>
      </c>
      <c r="C16">
        <v>92</v>
      </c>
      <c r="D16">
        <v>97.73</v>
      </c>
      <c r="E16">
        <v>94.03</v>
      </c>
      <c r="F16">
        <v>89.33</v>
      </c>
      <c r="G16">
        <v>91.43</v>
      </c>
      <c r="H16">
        <v>94.74</v>
      </c>
      <c r="I16">
        <v>91.92</v>
      </c>
      <c r="J16">
        <v>93.88</v>
      </c>
      <c r="K16" t="s">
        <v>98</v>
      </c>
      <c r="L16" t="s">
        <v>98</v>
      </c>
      <c r="M16" t="s">
        <v>98</v>
      </c>
      <c r="N16" t="s">
        <v>98</v>
      </c>
      <c r="O16">
        <v>92.82</v>
      </c>
      <c r="P16">
        <f t="shared" si="0"/>
        <v>5</v>
      </c>
      <c r="Q16">
        <f t="shared" si="1"/>
        <v>2</v>
      </c>
    </row>
    <row r="17" spans="2:17" x14ac:dyDescent="0.3">
      <c r="B17" t="s">
        <v>14</v>
      </c>
      <c r="C17">
        <v>100</v>
      </c>
      <c r="D17">
        <v>100</v>
      </c>
      <c r="E17">
        <v>100</v>
      </c>
      <c r="F17">
        <v>100</v>
      </c>
      <c r="G17">
        <v>93.75</v>
      </c>
      <c r="H17">
        <v>100</v>
      </c>
      <c r="I17">
        <v>93.75</v>
      </c>
      <c r="J17">
        <v>93.1</v>
      </c>
      <c r="K17" t="s">
        <v>98</v>
      </c>
      <c r="L17" t="s">
        <v>98</v>
      </c>
      <c r="M17" t="s">
        <v>98</v>
      </c>
      <c r="N17" t="s">
        <v>98</v>
      </c>
      <c r="O17">
        <v>93.55</v>
      </c>
      <c r="P17">
        <f t="shared" si="0"/>
        <v>7</v>
      </c>
      <c r="Q17">
        <f t="shared" si="1"/>
        <v>0</v>
      </c>
    </row>
    <row r="18" spans="2:17" x14ac:dyDescent="0.3">
      <c r="B18" t="s">
        <v>15</v>
      </c>
      <c r="C18">
        <v>98.02</v>
      </c>
      <c r="D18">
        <v>98.57</v>
      </c>
      <c r="E18">
        <v>98.82</v>
      </c>
      <c r="F18">
        <v>99.39</v>
      </c>
      <c r="G18">
        <v>96.28</v>
      </c>
      <c r="H18">
        <v>95.48</v>
      </c>
      <c r="I18">
        <v>99.2</v>
      </c>
      <c r="J18">
        <v>97.67</v>
      </c>
      <c r="K18" t="s">
        <v>98</v>
      </c>
      <c r="L18" t="s">
        <v>98</v>
      </c>
      <c r="M18" t="s">
        <v>98</v>
      </c>
      <c r="N18" t="s">
        <v>98</v>
      </c>
      <c r="O18">
        <v>97.88</v>
      </c>
      <c r="P18">
        <f t="shared" si="0"/>
        <v>7</v>
      </c>
      <c r="Q18">
        <f t="shared" si="1"/>
        <v>0</v>
      </c>
    </row>
    <row r="19" spans="2:17" x14ac:dyDescent="0.3">
      <c r="B19" t="s">
        <v>16</v>
      </c>
      <c r="C19">
        <v>96.63</v>
      </c>
      <c r="D19">
        <v>0</v>
      </c>
      <c r="E19">
        <v>93.33</v>
      </c>
      <c r="F19">
        <v>97.4</v>
      </c>
      <c r="G19">
        <v>95.24</v>
      </c>
      <c r="H19">
        <v>97.25</v>
      </c>
      <c r="I19">
        <v>96.3</v>
      </c>
      <c r="J19">
        <v>96.63</v>
      </c>
      <c r="K19" t="s">
        <v>98</v>
      </c>
      <c r="L19" t="s">
        <v>98</v>
      </c>
      <c r="M19" t="s">
        <v>98</v>
      </c>
      <c r="N19" t="s">
        <v>98</v>
      </c>
      <c r="O19">
        <v>96.37</v>
      </c>
      <c r="P19">
        <f t="shared" si="0"/>
        <v>6</v>
      </c>
      <c r="Q19">
        <f t="shared" si="1"/>
        <v>1</v>
      </c>
    </row>
    <row r="20" spans="2:17" x14ac:dyDescent="0.3">
      <c r="B20" t="s">
        <v>17</v>
      </c>
      <c r="C20">
        <v>90.91</v>
      </c>
      <c r="D20">
        <v>95</v>
      </c>
      <c r="E20">
        <v>90.48</v>
      </c>
      <c r="F20">
        <v>91.3</v>
      </c>
      <c r="G20">
        <v>96</v>
      </c>
      <c r="H20">
        <v>100</v>
      </c>
      <c r="I20">
        <v>94.12</v>
      </c>
      <c r="J20">
        <v>93.33</v>
      </c>
      <c r="K20" t="s">
        <v>98</v>
      </c>
      <c r="L20" t="s">
        <v>98</v>
      </c>
      <c r="M20" t="s">
        <v>98</v>
      </c>
      <c r="N20" t="s">
        <v>98</v>
      </c>
      <c r="O20">
        <v>93.01</v>
      </c>
      <c r="P20">
        <f t="shared" si="0"/>
        <v>4</v>
      </c>
      <c r="Q20">
        <f t="shared" si="1"/>
        <v>3</v>
      </c>
    </row>
    <row r="21" spans="2:17" x14ac:dyDescent="0.3">
      <c r="B21" t="s">
        <v>18</v>
      </c>
      <c r="C21">
        <v>88</v>
      </c>
      <c r="D21">
        <v>100</v>
      </c>
      <c r="E21">
        <v>92.31</v>
      </c>
      <c r="F21">
        <v>95.24</v>
      </c>
      <c r="G21">
        <v>94.44</v>
      </c>
      <c r="H21">
        <v>100</v>
      </c>
      <c r="I21">
        <v>100</v>
      </c>
      <c r="J21">
        <v>100</v>
      </c>
      <c r="K21" t="s">
        <v>98</v>
      </c>
      <c r="L21" t="s">
        <v>98</v>
      </c>
      <c r="M21" t="s">
        <v>98</v>
      </c>
      <c r="N21" t="s">
        <v>98</v>
      </c>
      <c r="O21">
        <v>94.63</v>
      </c>
      <c r="P21">
        <f t="shared" si="0"/>
        <v>6</v>
      </c>
      <c r="Q21">
        <f t="shared" si="1"/>
        <v>1</v>
      </c>
    </row>
    <row r="22" spans="2:17" x14ac:dyDescent="0.3">
      <c r="B22" t="s">
        <v>19</v>
      </c>
      <c r="C22">
        <v>98.72</v>
      </c>
      <c r="D22">
        <v>92.86</v>
      </c>
      <c r="E22">
        <v>92.93</v>
      </c>
      <c r="F22">
        <v>94.41</v>
      </c>
      <c r="G22">
        <v>98.28</v>
      </c>
      <c r="H22">
        <v>94.44</v>
      </c>
      <c r="I22">
        <v>96.12</v>
      </c>
      <c r="J22">
        <v>96.09</v>
      </c>
      <c r="K22" t="s">
        <v>98</v>
      </c>
      <c r="L22" t="s">
        <v>98</v>
      </c>
      <c r="M22" t="s">
        <v>98</v>
      </c>
      <c r="N22" t="s">
        <v>98</v>
      </c>
      <c r="O22">
        <v>95.46</v>
      </c>
      <c r="P22">
        <f t="shared" si="0"/>
        <v>7</v>
      </c>
      <c r="Q22">
        <f t="shared" si="1"/>
        <v>0</v>
      </c>
    </row>
    <row r="23" spans="2:17" x14ac:dyDescent="0.3">
      <c r="B23" t="s">
        <v>20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 t="s">
        <v>98</v>
      </c>
      <c r="L23" t="s">
        <v>98</v>
      </c>
      <c r="M23" t="s">
        <v>98</v>
      </c>
      <c r="N23" t="s">
        <v>98</v>
      </c>
      <c r="O23">
        <v>100</v>
      </c>
      <c r="P23">
        <f t="shared" si="0"/>
        <v>7</v>
      </c>
      <c r="Q23">
        <f t="shared" si="1"/>
        <v>0</v>
      </c>
    </row>
    <row r="24" spans="2:17" x14ac:dyDescent="0.3">
      <c r="B24" t="s">
        <v>21</v>
      </c>
      <c r="C24">
        <v>94.25</v>
      </c>
      <c r="D24">
        <v>89.5</v>
      </c>
      <c r="E24">
        <v>90.2</v>
      </c>
      <c r="F24">
        <v>90.46</v>
      </c>
      <c r="G24">
        <v>89.17</v>
      </c>
      <c r="H24">
        <v>87.56</v>
      </c>
      <c r="I24">
        <v>88.25</v>
      </c>
      <c r="J24">
        <v>87.92</v>
      </c>
      <c r="K24" t="s">
        <v>98</v>
      </c>
      <c r="L24" t="s">
        <v>98</v>
      </c>
      <c r="M24" t="s">
        <v>98</v>
      </c>
      <c r="N24" t="s">
        <v>98</v>
      </c>
      <c r="O24">
        <v>89.43</v>
      </c>
      <c r="P24">
        <f t="shared" si="0"/>
        <v>1</v>
      </c>
      <c r="Q24">
        <f t="shared" si="1"/>
        <v>6</v>
      </c>
    </row>
    <row r="25" spans="2:17" x14ac:dyDescent="0.3">
      <c r="B25" t="s">
        <v>22</v>
      </c>
      <c r="C25">
        <v>100</v>
      </c>
      <c r="D25">
        <v>100</v>
      </c>
      <c r="E25">
        <v>100</v>
      </c>
      <c r="F25">
        <v>92.31</v>
      </c>
      <c r="G25">
        <v>93.33</v>
      </c>
      <c r="H25">
        <v>85</v>
      </c>
      <c r="I25">
        <v>100</v>
      </c>
      <c r="J25">
        <v>100</v>
      </c>
      <c r="K25" t="s">
        <v>98</v>
      </c>
      <c r="L25" t="s">
        <v>98</v>
      </c>
      <c r="M25" t="s">
        <v>98</v>
      </c>
      <c r="N25" t="s">
        <v>98</v>
      </c>
      <c r="O25">
        <v>93.9</v>
      </c>
      <c r="P25">
        <f t="shared" si="0"/>
        <v>6</v>
      </c>
      <c r="Q25">
        <f t="shared" si="1"/>
        <v>1</v>
      </c>
    </row>
    <row r="26" spans="2:17" x14ac:dyDescent="0.3">
      <c r="B26" t="s">
        <v>23</v>
      </c>
      <c r="C26">
        <v>96.58</v>
      </c>
      <c r="D26">
        <v>93.15</v>
      </c>
      <c r="E26">
        <v>97.78</v>
      </c>
      <c r="F26">
        <v>96.55</v>
      </c>
      <c r="G26">
        <v>95.6</v>
      </c>
      <c r="H26">
        <v>94.93</v>
      </c>
      <c r="I26">
        <v>94.22</v>
      </c>
      <c r="J26">
        <v>94.29</v>
      </c>
      <c r="K26" t="s">
        <v>98</v>
      </c>
      <c r="L26" t="s">
        <v>98</v>
      </c>
      <c r="M26" t="s">
        <v>98</v>
      </c>
      <c r="N26" t="s">
        <v>98</v>
      </c>
      <c r="O26">
        <v>95.33</v>
      </c>
      <c r="P26">
        <f t="shared" si="0"/>
        <v>7</v>
      </c>
      <c r="Q26">
        <f t="shared" si="1"/>
        <v>0</v>
      </c>
    </row>
    <row r="27" spans="2:17" x14ac:dyDescent="0.3">
      <c r="B27" t="s">
        <v>24</v>
      </c>
      <c r="C27">
        <v>100</v>
      </c>
      <c r="D27">
        <v>100</v>
      </c>
      <c r="E27">
        <v>100</v>
      </c>
      <c r="F27">
        <v>100</v>
      </c>
      <c r="G27">
        <v>0</v>
      </c>
      <c r="H27">
        <v>100</v>
      </c>
      <c r="I27">
        <v>100</v>
      </c>
      <c r="J27">
        <v>100</v>
      </c>
      <c r="K27" t="s">
        <v>98</v>
      </c>
      <c r="L27" t="s">
        <v>98</v>
      </c>
      <c r="M27" t="s">
        <v>98</v>
      </c>
      <c r="N27" t="s">
        <v>98</v>
      </c>
      <c r="O27">
        <v>92.86</v>
      </c>
      <c r="P27">
        <f t="shared" si="0"/>
        <v>6</v>
      </c>
      <c r="Q27">
        <f t="shared" si="1"/>
        <v>1</v>
      </c>
    </row>
    <row r="28" spans="2:17" x14ac:dyDescent="0.3">
      <c r="B28" t="s">
        <v>25</v>
      </c>
      <c r="C28">
        <v>97.87</v>
      </c>
      <c r="D28">
        <v>92.5</v>
      </c>
      <c r="E28">
        <v>95.18</v>
      </c>
      <c r="F28">
        <v>94.12</v>
      </c>
      <c r="G28">
        <v>94.69</v>
      </c>
      <c r="H28">
        <v>89.92</v>
      </c>
      <c r="I28">
        <v>93.91</v>
      </c>
      <c r="J28">
        <v>94.74</v>
      </c>
      <c r="K28" t="s">
        <v>98</v>
      </c>
      <c r="L28" t="s">
        <v>98</v>
      </c>
      <c r="M28" t="s">
        <v>98</v>
      </c>
      <c r="N28" t="s">
        <v>98</v>
      </c>
      <c r="O28">
        <v>93.8</v>
      </c>
      <c r="P28">
        <f t="shared" si="0"/>
        <v>6</v>
      </c>
      <c r="Q28">
        <f t="shared" si="1"/>
        <v>1</v>
      </c>
    </row>
    <row r="29" spans="2:17" x14ac:dyDescent="0.3">
      <c r="B29" t="s">
        <v>26</v>
      </c>
      <c r="C29">
        <v>91.3</v>
      </c>
      <c r="D29">
        <v>96.97</v>
      </c>
      <c r="E29">
        <v>94.59</v>
      </c>
      <c r="F29">
        <v>93.75</v>
      </c>
      <c r="G29">
        <v>92.5</v>
      </c>
      <c r="H29">
        <v>94.64</v>
      </c>
      <c r="I29">
        <v>93.83</v>
      </c>
      <c r="J29">
        <v>92.31</v>
      </c>
      <c r="K29" t="s">
        <v>98</v>
      </c>
      <c r="L29" t="s">
        <v>98</v>
      </c>
      <c r="M29" t="s">
        <v>98</v>
      </c>
      <c r="N29" t="s">
        <v>98</v>
      </c>
      <c r="O29">
        <v>93.44</v>
      </c>
      <c r="P29">
        <f t="shared" si="0"/>
        <v>6</v>
      </c>
      <c r="Q29">
        <f t="shared" si="1"/>
        <v>1</v>
      </c>
    </row>
    <row r="30" spans="2:17" x14ac:dyDescent="0.3">
      <c r="B30" t="s">
        <v>27</v>
      </c>
      <c r="C30">
        <v>100</v>
      </c>
      <c r="D30">
        <v>100</v>
      </c>
      <c r="E30">
        <v>100</v>
      </c>
      <c r="F30">
        <v>85.71</v>
      </c>
      <c r="G30">
        <v>93.75</v>
      </c>
      <c r="H30">
        <v>92.86</v>
      </c>
      <c r="I30">
        <v>86.27</v>
      </c>
      <c r="J30">
        <v>88.46</v>
      </c>
      <c r="K30" t="s">
        <v>98</v>
      </c>
      <c r="L30" t="s">
        <v>98</v>
      </c>
      <c r="M30" t="s">
        <v>98</v>
      </c>
      <c r="N30" t="s">
        <v>98</v>
      </c>
      <c r="O30">
        <v>88.46</v>
      </c>
      <c r="P30">
        <f t="shared" si="0"/>
        <v>5</v>
      </c>
      <c r="Q30">
        <f t="shared" si="1"/>
        <v>2</v>
      </c>
    </row>
    <row r="31" spans="2:17" x14ac:dyDescent="0.3">
      <c r="B31" t="s">
        <v>28</v>
      </c>
      <c r="C31">
        <v>96.88</v>
      </c>
      <c r="D31">
        <v>92.31</v>
      </c>
      <c r="E31">
        <v>100</v>
      </c>
      <c r="F31">
        <v>93.65</v>
      </c>
      <c r="G31">
        <v>94.96</v>
      </c>
      <c r="H31">
        <v>91.51</v>
      </c>
      <c r="I31">
        <v>96.12</v>
      </c>
      <c r="J31">
        <v>96.18</v>
      </c>
      <c r="K31" t="s">
        <v>98</v>
      </c>
      <c r="L31" t="s">
        <v>98</v>
      </c>
      <c r="M31" t="s">
        <v>98</v>
      </c>
      <c r="N31" t="s">
        <v>98</v>
      </c>
      <c r="O31">
        <v>94.74</v>
      </c>
      <c r="P31">
        <f t="shared" si="0"/>
        <v>6</v>
      </c>
      <c r="Q31">
        <f t="shared" si="1"/>
        <v>1</v>
      </c>
    </row>
    <row r="32" spans="2:17" x14ac:dyDescent="0.3">
      <c r="B32" t="s">
        <v>29</v>
      </c>
      <c r="C32">
        <v>88.89</v>
      </c>
      <c r="D32">
        <v>87.76</v>
      </c>
      <c r="E32">
        <v>92.36</v>
      </c>
      <c r="F32">
        <v>91.89</v>
      </c>
      <c r="G32">
        <v>88.55</v>
      </c>
      <c r="H32">
        <v>90.7</v>
      </c>
      <c r="I32">
        <v>93.7</v>
      </c>
      <c r="J32">
        <v>90.98</v>
      </c>
      <c r="K32" t="s">
        <v>98</v>
      </c>
      <c r="L32" t="s">
        <v>98</v>
      </c>
      <c r="M32" t="s">
        <v>98</v>
      </c>
      <c r="N32" t="s">
        <v>98</v>
      </c>
      <c r="O32">
        <v>90.79</v>
      </c>
      <c r="P32">
        <f t="shared" si="0"/>
        <v>3</v>
      </c>
      <c r="Q32">
        <f t="shared" si="1"/>
        <v>4</v>
      </c>
    </row>
    <row r="33" spans="2:17" x14ac:dyDescent="0.3">
      <c r="B33" t="s">
        <v>30</v>
      </c>
      <c r="C33">
        <v>93.7</v>
      </c>
      <c r="D33">
        <v>90.2</v>
      </c>
      <c r="E33">
        <v>96.9</v>
      </c>
      <c r="F33">
        <v>91.46</v>
      </c>
      <c r="G33">
        <v>90.67</v>
      </c>
      <c r="H33">
        <v>93.63</v>
      </c>
      <c r="I33">
        <v>90.63</v>
      </c>
      <c r="J33">
        <v>90.31</v>
      </c>
      <c r="K33" t="s">
        <v>98</v>
      </c>
      <c r="L33" t="s">
        <v>98</v>
      </c>
      <c r="M33" t="s">
        <v>98</v>
      </c>
      <c r="N33" t="s">
        <v>98</v>
      </c>
      <c r="O33">
        <v>92.09</v>
      </c>
      <c r="P33">
        <f t="shared" si="0"/>
        <v>3</v>
      </c>
      <c r="Q33">
        <f t="shared" si="1"/>
        <v>4</v>
      </c>
    </row>
    <row r="34" spans="2:17" x14ac:dyDescent="0.3">
      <c r="B34" t="s">
        <v>31</v>
      </c>
      <c r="C34">
        <v>100</v>
      </c>
      <c r="D34">
        <v>100</v>
      </c>
      <c r="E34">
        <v>100</v>
      </c>
      <c r="F34">
        <v>87.5</v>
      </c>
      <c r="G34">
        <v>100</v>
      </c>
      <c r="H34">
        <v>100</v>
      </c>
      <c r="I34">
        <v>90.7</v>
      </c>
      <c r="J34">
        <v>90</v>
      </c>
      <c r="K34" t="s">
        <v>98</v>
      </c>
      <c r="L34" t="s">
        <v>98</v>
      </c>
      <c r="M34" t="s">
        <v>98</v>
      </c>
      <c r="N34" t="s">
        <v>98</v>
      </c>
      <c r="O34">
        <v>90.11</v>
      </c>
      <c r="P34">
        <f t="shared" si="0"/>
        <v>5</v>
      </c>
      <c r="Q34">
        <f t="shared" si="1"/>
        <v>2</v>
      </c>
    </row>
    <row r="35" spans="2:17" x14ac:dyDescent="0.3">
      <c r="B35" t="s">
        <v>32</v>
      </c>
      <c r="C35">
        <v>96.55</v>
      </c>
      <c r="D35">
        <v>91.23</v>
      </c>
      <c r="E35">
        <v>94.29</v>
      </c>
      <c r="F35">
        <v>91.13</v>
      </c>
      <c r="G35">
        <v>95.79</v>
      </c>
      <c r="H35">
        <v>90.79</v>
      </c>
      <c r="I35">
        <v>93.26</v>
      </c>
      <c r="J35">
        <v>94.38</v>
      </c>
      <c r="K35" t="s">
        <v>98</v>
      </c>
      <c r="L35" t="s">
        <v>98</v>
      </c>
      <c r="M35" t="s">
        <v>98</v>
      </c>
      <c r="N35" t="s">
        <v>98</v>
      </c>
      <c r="O35">
        <v>93.31</v>
      </c>
      <c r="P35">
        <f t="shared" si="0"/>
        <v>4</v>
      </c>
      <c r="Q35">
        <f t="shared" si="1"/>
        <v>3</v>
      </c>
    </row>
    <row r="36" spans="2:17" x14ac:dyDescent="0.3">
      <c r="B36" t="s">
        <v>33</v>
      </c>
      <c r="C36" t="s">
        <v>34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 t="s">
        <v>98</v>
      </c>
      <c r="L36" t="s">
        <v>98</v>
      </c>
      <c r="M36" t="s">
        <v>98</v>
      </c>
      <c r="N36" t="s">
        <v>98</v>
      </c>
      <c r="O36">
        <v>100</v>
      </c>
      <c r="P36">
        <f t="shared" si="0"/>
        <v>6</v>
      </c>
      <c r="Q36">
        <f t="shared" si="1"/>
        <v>0</v>
      </c>
    </row>
    <row r="37" spans="2:17" x14ac:dyDescent="0.3">
      <c r="B37" t="s">
        <v>35</v>
      </c>
      <c r="C37">
        <v>95.85</v>
      </c>
      <c r="D37">
        <v>95.04</v>
      </c>
      <c r="E37">
        <v>93.07</v>
      </c>
      <c r="F37">
        <v>93.94</v>
      </c>
      <c r="G37">
        <v>92.17</v>
      </c>
      <c r="H37">
        <v>92.25</v>
      </c>
      <c r="I37">
        <v>92.58</v>
      </c>
      <c r="J37">
        <v>93.19</v>
      </c>
      <c r="K37" t="s">
        <v>98</v>
      </c>
      <c r="L37" t="s">
        <v>98</v>
      </c>
      <c r="M37" t="s">
        <v>98</v>
      </c>
      <c r="N37" t="s">
        <v>98</v>
      </c>
      <c r="O37">
        <v>93.38</v>
      </c>
      <c r="P37">
        <f t="shared" si="0"/>
        <v>7</v>
      </c>
      <c r="Q37">
        <f t="shared" si="1"/>
        <v>0</v>
      </c>
    </row>
    <row r="38" spans="2:17" x14ac:dyDescent="0.3">
      <c r="B38" t="s">
        <v>36</v>
      </c>
      <c r="C38">
        <v>96.4</v>
      </c>
      <c r="D38">
        <v>95.6</v>
      </c>
      <c r="E38">
        <v>95.19</v>
      </c>
      <c r="F38">
        <v>94.57</v>
      </c>
      <c r="G38">
        <v>95.13</v>
      </c>
      <c r="H38">
        <v>99.31</v>
      </c>
      <c r="I38">
        <v>94.12</v>
      </c>
      <c r="J38">
        <v>95.31</v>
      </c>
      <c r="K38" t="s">
        <v>98</v>
      </c>
      <c r="L38" t="s">
        <v>98</v>
      </c>
      <c r="M38" t="s">
        <v>98</v>
      </c>
      <c r="N38" t="s">
        <v>98</v>
      </c>
      <c r="O38">
        <v>95.56</v>
      </c>
      <c r="P38">
        <f t="shared" si="0"/>
        <v>7</v>
      </c>
      <c r="Q38">
        <f t="shared" si="1"/>
        <v>0</v>
      </c>
    </row>
    <row r="39" spans="2:17" x14ac:dyDescent="0.3">
      <c r="B39" t="s">
        <v>37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 t="s">
        <v>98</v>
      </c>
      <c r="L39" t="s">
        <v>98</v>
      </c>
      <c r="M39" t="s">
        <v>98</v>
      </c>
      <c r="N39" t="s">
        <v>98</v>
      </c>
      <c r="O39">
        <v>100</v>
      </c>
      <c r="P39">
        <f t="shared" si="0"/>
        <v>7</v>
      </c>
      <c r="Q39">
        <f t="shared" si="1"/>
        <v>0</v>
      </c>
    </row>
    <row r="40" spans="2:17" x14ac:dyDescent="0.3">
      <c r="B40" t="s">
        <v>38</v>
      </c>
      <c r="C40">
        <v>96.77</v>
      </c>
      <c r="D40">
        <v>100</v>
      </c>
      <c r="E40">
        <v>100</v>
      </c>
      <c r="F40">
        <v>100</v>
      </c>
      <c r="G40">
        <v>100</v>
      </c>
      <c r="H40">
        <v>92.59</v>
      </c>
      <c r="I40">
        <v>98</v>
      </c>
      <c r="J40">
        <v>98.08</v>
      </c>
      <c r="K40" t="s">
        <v>98</v>
      </c>
      <c r="L40" t="s">
        <v>98</v>
      </c>
      <c r="M40" t="s">
        <v>98</v>
      </c>
      <c r="N40" t="s">
        <v>98</v>
      </c>
      <c r="O40">
        <v>96.88</v>
      </c>
      <c r="P40">
        <f t="shared" si="0"/>
        <v>7</v>
      </c>
      <c r="Q40">
        <f t="shared" si="1"/>
        <v>0</v>
      </c>
    </row>
    <row r="41" spans="2:17" x14ac:dyDescent="0.3">
      <c r="B41" t="s">
        <v>39</v>
      </c>
      <c r="C41">
        <v>93.33</v>
      </c>
      <c r="D41">
        <v>94</v>
      </c>
      <c r="E41">
        <v>100</v>
      </c>
      <c r="F41">
        <v>95</v>
      </c>
      <c r="G41">
        <v>96.47</v>
      </c>
      <c r="H41">
        <v>93.67</v>
      </c>
      <c r="I41">
        <v>94.32</v>
      </c>
      <c r="J41">
        <v>94.25</v>
      </c>
      <c r="K41" t="s">
        <v>98</v>
      </c>
      <c r="L41" t="s">
        <v>98</v>
      </c>
      <c r="M41" t="s">
        <v>98</v>
      </c>
      <c r="N41" t="s">
        <v>98</v>
      </c>
      <c r="O41">
        <v>94.57</v>
      </c>
      <c r="P41">
        <f t="shared" si="0"/>
        <v>7</v>
      </c>
      <c r="Q41">
        <f t="shared" si="1"/>
        <v>0</v>
      </c>
    </row>
    <row r="42" spans="2:17" x14ac:dyDescent="0.3">
      <c r="B42" t="s">
        <v>40</v>
      </c>
      <c r="C42">
        <v>94.07</v>
      </c>
      <c r="D42">
        <v>93.83</v>
      </c>
      <c r="E42">
        <v>100</v>
      </c>
      <c r="F42">
        <v>97.14</v>
      </c>
      <c r="G42">
        <v>96.04</v>
      </c>
      <c r="H42">
        <v>93.16</v>
      </c>
      <c r="I42">
        <v>93.68</v>
      </c>
      <c r="J42">
        <v>93.96</v>
      </c>
      <c r="K42" t="s">
        <v>98</v>
      </c>
      <c r="L42" t="s">
        <v>98</v>
      </c>
      <c r="M42" t="s">
        <v>98</v>
      </c>
      <c r="N42" t="s">
        <v>98</v>
      </c>
      <c r="O42">
        <v>94.66</v>
      </c>
      <c r="P42">
        <f t="shared" si="0"/>
        <v>7</v>
      </c>
      <c r="Q42">
        <f t="shared" si="1"/>
        <v>0</v>
      </c>
    </row>
    <row r="43" spans="2:17" x14ac:dyDescent="0.3">
      <c r="B43" t="s">
        <v>41</v>
      </c>
      <c r="C43">
        <v>92.96</v>
      </c>
      <c r="D43">
        <v>88.75</v>
      </c>
      <c r="E43">
        <v>90</v>
      </c>
      <c r="F43">
        <v>92.41</v>
      </c>
      <c r="G43">
        <v>93.55</v>
      </c>
      <c r="H43">
        <v>91.25</v>
      </c>
      <c r="I43">
        <v>90</v>
      </c>
      <c r="J43">
        <v>88.37</v>
      </c>
      <c r="K43" t="s">
        <v>98</v>
      </c>
      <c r="L43" t="s">
        <v>98</v>
      </c>
      <c r="M43" t="s">
        <v>98</v>
      </c>
      <c r="N43" t="s">
        <v>98</v>
      </c>
      <c r="O43">
        <v>91.01</v>
      </c>
      <c r="P43">
        <f t="shared" si="0"/>
        <v>3</v>
      </c>
      <c r="Q43">
        <f t="shared" si="1"/>
        <v>4</v>
      </c>
    </row>
    <row r="44" spans="2:17" x14ac:dyDescent="0.3">
      <c r="B44" t="s">
        <v>42</v>
      </c>
      <c r="C44">
        <v>100</v>
      </c>
      <c r="D44">
        <v>86.96</v>
      </c>
      <c r="E44">
        <v>86.67</v>
      </c>
      <c r="F44">
        <v>100</v>
      </c>
      <c r="G44">
        <v>96.15</v>
      </c>
      <c r="H44">
        <v>91.89</v>
      </c>
      <c r="I44">
        <v>84.09</v>
      </c>
      <c r="J44">
        <v>90.48</v>
      </c>
      <c r="K44" t="s">
        <v>98</v>
      </c>
      <c r="L44" t="s">
        <v>98</v>
      </c>
      <c r="M44" t="s">
        <v>98</v>
      </c>
      <c r="N44" t="s">
        <v>98</v>
      </c>
      <c r="O44">
        <v>89.3</v>
      </c>
      <c r="P44">
        <f t="shared" si="0"/>
        <v>4</v>
      </c>
      <c r="Q44">
        <f t="shared" si="1"/>
        <v>3</v>
      </c>
    </row>
    <row r="45" spans="2:17" x14ac:dyDescent="0.3">
      <c r="B45" t="s">
        <v>43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90</v>
      </c>
      <c r="I45">
        <v>93.33</v>
      </c>
      <c r="J45">
        <v>93.33</v>
      </c>
      <c r="K45" t="s">
        <v>98</v>
      </c>
      <c r="L45" t="s">
        <v>98</v>
      </c>
      <c r="M45" t="s">
        <v>98</v>
      </c>
      <c r="N45" t="s">
        <v>98</v>
      </c>
      <c r="O45">
        <v>92.5</v>
      </c>
      <c r="P45">
        <f t="shared" si="0"/>
        <v>6</v>
      </c>
      <c r="Q45">
        <f t="shared" si="1"/>
        <v>1</v>
      </c>
    </row>
    <row r="46" spans="2:17" x14ac:dyDescent="0.3">
      <c r="B46" t="s">
        <v>44</v>
      </c>
      <c r="C46">
        <v>85.71</v>
      </c>
      <c r="D46">
        <v>100</v>
      </c>
      <c r="E46">
        <v>90.91</v>
      </c>
      <c r="F46">
        <v>93.33</v>
      </c>
      <c r="G46">
        <v>100</v>
      </c>
      <c r="H46">
        <v>100</v>
      </c>
      <c r="I46">
        <v>100</v>
      </c>
      <c r="J46">
        <v>100</v>
      </c>
      <c r="K46" t="s">
        <v>98</v>
      </c>
      <c r="L46" t="s">
        <v>98</v>
      </c>
      <c r="M46" t="s">
        <v>98</v>
      </c>
      <c r="N46" t="s">
        <v>98</v>
      </c>
      <c r="O46">
        <v>94.74</v>
      </c>
      <c r="P46">
        <f t="shared" si="0"/>
        <v>5</v>
      </c>
      <c r="Q46">
        <f t="shared" si="1"/>
        <v>2</v>
      </c>
    </row>
    <row r="47" spans="2:17" x14ac:dyDescent="0.3">
      <c r="B47" t="s">
        <v>45</v>
      </c>
      <c r="C47">
        <v>100</v>
      </c>
      <c r="D47">
        <v>95.89</v>
      </c>
      <c r="E47">
        <v>85.71</v>
      </c>
      <c r="F47">
        <v>94.9</v>
      </c>
      <c r="G47">
        <v>96.15</v>
      </c>
      <c r="H47">
        <v>96.05</v>
      </c>
      <c r="I47">
        <v>97.8</v>
      </c>
      <c r="J47">
        <v>98.95</v>
      </c>
      <c r="K47" t="s">
        <v>98</v>
      </c>
      <c r="L47" t="s">
        <v>98</v>
      </c>
      <c r="M47" t="s">
        <v>98</v>
      </c>
      <c r="N47" t="s">
        <v>98</v>
      </c>
      <c r="O47">
        <v>96.53</v>
      </c>
      <c r="P47">
        <f t="shared" si="0"/>
        <v>6</v>
      </c>
      <c r="Q47">
        <f t="shared" si="1"/>
        <v>1</v>
      </c>
    </row>
    <row r="48" spans="2:17" x14ac:dyDescent="0.3">
      <c r="B48" t="s">
        <v>46</v>
      </c>
      <c r="C48">
        <v>97.57</v>
      </c>
      <c r="D48">
        <v>97.34</v>
      </c>
      <c r="E48">
        <v>97.98</v>
      </c>
      <c r="F48">
        <v>97.85</v>
      </c>
      <c r="G48">
        <v>97.47</v>
      </c>
      <c r="H48">
        <v>97.19</v>
      </c>
      <c r="I48">
        <v>96.63</v>
      </c>
      <c r="J48">
        <v>96.37</v>
      </c>
      <c r="K48" t="s">
        <v>98</v>
      </c>
      <c r="L48" t="s">
        <v>98</v>
      </c>
      <c r="M48" t="s">
        <v>98</v>
      </c>
      <c r="N48" t="s">
        <v>98</v>
      </c>
      <c r="O48">
        <v>97.21</v>
      </c>
      <c r="P48">
        <f t="shared" si="0"/>
        <v>7</v>
      </c>
      <c r="Q48">
        <f t="shared" si="1"/>
        <v>0</v>
      </c>
    </row>
    <row r="49" spans="2:17" x14ac:dyDescent="0.3">
      <c r="B49" t="s">
        <v>47</v>
      </c>
      <c r="C49">
        <v>96.18</v>
      </c>
      <c r="D49">
        <v>91.27</v>
      </c>
      <c r="E49">
        <v>91.35</v>
      </c>
      <c r="F49">
        <v>93.75</v>
      </c>
      <c r="G49">
        <v>98.11</v>
      </c>
      <c r="H49">
        <v>97.76</v>
      </c>
      <c r="I49">
        <v>96.67</v>
      </c>
      <c r="J49">
        <v>96.72</v>
      </c>
      <c r="K49" t="s">
        <v>98</v>
      </c>
      <c r="L49" t="s">
        <v>98</v>
      </c>
      <c r="M49" t="s">
        <v>98</v>
      </c>
      <c r="N49" t="s">
        <v>98</v>
      </c>
      <c r="O49">
        <v>95.31</v>
      </c>
      <c r="P49">
        <f t="shared" si="0"/>
        <v>5</v>
      </c>
      <c r="Q49">
        <f t="shared" si="1"/>
        <v>2</v>
      </c>
    </row>
    <row r="50" spans="2:17" x14ac:dyDescent="0.3">
      <c r="B50" t="s">
        <v>48</v>
      </c>
      <c r="C50">
        <v>100</v>
      </c>
      <c r="D50">
        <v>78.569999999999993</v>
      </c>
      <c r="E50">
        <v>100</v>
      </c>
      <c r="F50">
        <v>87.5</v>
      </c>
      <c r="G50">
        <v>79.17</v>
      </c>
      <c r="H50">
        <v>75</v>
      </c>
      <c r="I50">
        <v>95.83</v>
      </c>
      <c r="J50">
        <v>95.45</v>
      </c>
      <c r="K50" t="s">
        <v>98</v>
      </c>
      <c r="L50" t="s">
        <v>98</v>
      </c>
      <c r="M50" t="s">
        <v>98</v>
      </c>
      <c r="N50" t="s">
        <v>98</v>
      </c>
      <c r="O50">
        <v>85.96</v>
      </c>
      <c r="P50">
        <f t="shared" si="0"/>
        <v>3</v>
      </c>
      <c r="Q50">
        <f t="shared" si="1"/>
        <v>4</v>
      </c>
    </row>
    <row r="51" spans="2:17" x14ac:dyDescent="0.3">
      <c r="B51" t="s">
        <v>49</v>
      </c>
      <c r="C51">
        <v>94.62</v>
      </c>
      <c r="D51">
        <v>96.46</v>
      </c>
      <c r="E51">
        <v>94.52</v>
      </c>
      <c r="F51">
        <v>94.69</v>
      </c>
      <c r="G51">
        <v>94.13</v>
      </c>
      <c r="H51">
        <v>90.65</v>
      </c>
      <c r="I51">
        <v>94.58</v>
      </c>
      <c r="J51">
        <v>94.36</v>
      </c>
      <c r="K51" t="s">
        <v>98</v>
      </c>
      <c r="L51" t="s">
        <v>98</v>
      </c>
      <c r="M51" t="s">
        <v>98</v>
      </c>
      <c r="N51" t="s">
        <v>98</v>
      </c>
      <c r="O51">
        <v>94.06</v>
      </c>
      <c r="P51">
        <f t="shared" si="0"/>
        <v>6</v>
      </c>
      <c r="Q51">
        <f t="shared" si="1"/>
        <v>1</v>
      </c>
    </row>
    <row r="52" spans="2:17" x14ac:dyDescent="0.3">
      <c r="B52" t="s">
        <v>50</v>
      </c>
      <c r="C52">
        <v>100</v>
      </c>
      <c r="D52">
        <v>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 t="s">
        <v>98</v>
      </c>
      <c r="L52" t="s">
        <v>98</v>
      </c>
      <c r="M52" t="s">
        <v>98</v>
      </c>
      <c r="N52" t="s">
        <v>98</v>
      </c>
      <c r="O52">
        <v>0</v>
      </c>
      <c r="P52">
        <f t="shared" si="0"/>
        <v>6</v>
      </c>
      <c r="Q52">
        <f t="shared" si="1"/>
        <v>1</v>
      </c>
    </row>
    <row r="53" spans="2:17" x14ac:dyDescent="0.3">
      <c r="B53" t="s">
        <v>51</v>
      </c>
      <c r="C53">
        <v>97.83</v>
      </c>
      <c r="D53">
        <v>95.61</v>
      </c>
      <c r="E53">
        <v>98.13</v>
      </c>
      <c r="F53">
        <v>96.74</v>
      </c>
      <c r="G53">
        <v>93.81</v>
      </c>
      <c r="H53">
        <v>88.6</v>
      </c>
      <c r="I53">
        <v>97.87</v>
      </c>
      <c r="J53">
        <v>97.97</v>
      </c>
      <c r="K53" t="s">
        <v>98</v>
      </c>
      <c r="L53" t="s">
        <v>98</v>
      </c>
      <c r="M53" t="s">
        <v>98</v>
      </c>
      <c r="N53" t="s">
        <v>98</v>
      </c>
      <c r="O53">
        <v>95.95</v>
      </c>
      <c r="P53">
        <f t="shared" si="0"/>
        <v>6</v>
      </c>
      <c r="Q53">
        <f t="shared" si="1"/>
        <v>1</v>
      </c>
    </row>
    <row r="54" spans="2:17" x14ac:dyDescent="0.3">
      <c r="B54" t="s">
        <v>52</v>
      </c>
      <c r="C54">
        <v>100</v>
      </c>
      <c r="D54">
        <v>100</v>
      </c>
      <c r="E54">
        <v>100</v>
      </c>
      <c r="F54">
        <v>83.33</v>
      </c>
      <c r="G54">
        <v>71.430000000000007</v>
      </c>
      <c r="H54">
        <v>100</v>
      </c>
      <c r="I54">
        <v>50</v>
      </c>
      <c r="J54">
        <v>66.67</v>
      </c>
      <c r="K54" t="s">
        <v>98</v>
      </c>
      <c r="L54" t="s">
        <v>98</v>
      </c>
      <c r="M54" t="s">
        <v>98</v>
      </c>
      <c r="N54" t="s">
        <v>98</v>
      </c>
      <c r="O54">
        <v>73.08</v>
      </c>
      <c r="P54">
        <f t="shared" si="0"/>
        <v>4</v>
      </c>
      <c r="Q54">
        <f t="shared" si="1"/>
        <v>3</v>
      </c>
    </row>
    <row r="55" spans="2:17" x14ac:dyDescent="0.3">
      <c r="B55" t="s">
        <v>53</v>
      </c>
      <c r="C55">
        <v>100</v>
      </c>
      <c r="D55">
        <v>50</v>
      </c>
      <c r="E55">
        <v>100</v>
      </c>
      <c r="F55">
        <v>94.74</v>
      </c>
      <c r="G55">
        <v>95.24</v>
      </c>
      <c r="H55">
        <v>100</v>
      </c>
      <c r="I55">
        <v>95.83</v>
      </c>
      <c r="J55">
        <v>96.15</v>
      </c>
      <c r="K55" t="s">
        <v>98</v>
      </c>
      <c r="L55" t="s">
        <v>98</v>
      </c>
      <c r="M55" t="s">
        <v>98</v>
      </c>
      <c r="N55" t="s">
        <v>98</v>
      </c>
      <c r="O55">
        <v>95.45</v>
      </c>
      <c r="P55">
        <f t="shared" si="0"/>
        <v>6</v>
      </c>
      <c r="Q55">
        <f t="shared" si="1"/>
        <v>1</v>
      </c>
    </row>
    <row r="56" spans="2:17" x14ac:dyDescent="0.3">
      <c r="B56" t="s">
        <v>54</v>
      </c>
      <c r="C56">
        <v>94.87</v>
      </c>
      <c r="D56">
        <v>98.53</v>
      </c>
      <c r="E56">
        <v>96.15</v>
      </c>
      <c r="F56">
        <v>97.44</v>
      </c>
      <c r="G56">
        <v>91.58</v>
      </c>
      <c r="H56">
        <v>97.1</v>
      </c>
      <c r="I56">
        <v>100</v>
      </c>
      <c r="J56">
        <v>100</v>
      </c>
      <c r="K56" t="s">
        <v>98</v>
      </c>
      <c r="L56" t="s">
        <v>98</v>
      </c>
      <c r="M56" t="s">
        <v>98</v>
      </c>
      <c r="N56" t="s">
        <v>98</v>
      </c>
      <c r="O56">
        <v>97.23</v>
      </c>
      <c r="P56">
        <f t="shared" si="0"/>
        <v>6</v>
      </c>
      <c r="Q56">
        <f t="shared" si="1"/>
        <v>1</v>
      </c>
    </row>
    <row r="57" spans="2:17" x14ac:dyDescent="0.3">
      <c r="B57" t="s">
        <v>55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 t="s">
        <v>98</v>
      </c>
      <c r="L57" t="s">
        <v>98</v>
      </c>
      <c r="M57" t="s">
        <v>98</v>
      </c>
      <c r="N57" t="s">
        <v>98</v>
      </c>
      <c r="O57">
        <v>100</v>
      </c>
      <c r="P57">
        <f t="shared" si="0"/>
        <v>7</v>
      </c>
      <c r="Q57">
        <f t="shared" si="1"/>
        <v>0</v>
      </c>
    </row>
    <row r="58" spans="2:17" x14ac:dyDescent="0.3">
      <c r="B58" t="s">
        <v>56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 t="s">
        <v>98</v>
      </c>
      <c r="L58" t="s">
        <v>98</v>
      </c>
      <c r="M58" t="s">
        <v>98</v>
      </c>
      <c r="N58" t="s">
        <v>98</v>
      </c>
      <c r="O58">
        <v>100</v>
      </c>
      <c r="P58">
        <f t="shared" si="0"/>
        <v>7</v>
      </c>
      <c r="Q58">
        <f t="shared" si="1"/>
        <v>0</v>
      </c>
    </row>
    <row r="59" spans="2:17" x14ac:dyDescent="0.3">
      <c r="B59" t="s">
        <v>57</v>
      </c>
      <c r="C59">
        <v>98.04</v>
      </c>
      <c r="D59">
        <v>97.92</v>
      </c>
      <c r="E59">
        <v>94.87</v>
      </c>
      <c r="F59">
        <v>94.94</v>
      </c>
      <c r="G59">
        <v>98.72</v>
      </c>
      <c r="H59">
        <v>94.44</v>
      </c>
      <c r="I59">
        <v>92</v>
      </c>
      <c r="J59">
        <v>93.55</v>
      </c>
      <c r="K59" t="s">
        <v>98</v>
      </c>
      <c r="L59" t="s">
        <v>98</v>
      </c>
      <c r="M59" t="s">
        <v>98</v>
      </c>
      <c r="N59" t="s">
        <v>98</v>
      </c>
      <c r="O59">
        <v>95.13</v>
      </c>
      <c r="P59">
        <f t="shared" si="0"/>
        <v>7</v>
      </c>
      <c r="Q59">
        <f t="shared" si="1"/>
        <v>0</v>
      </c>
    </row>
    <row r="60" spans="2:17" x14ac:dyDescent="0.3">
      <c r="B60" t="s">
        <v>58</v>
      </c>
      <c r="C60">
        <v>95.16</v>
      </c>
      <c r="D60">
        <v>92.94</v>
      </c>
      <c r="E60">
        <v>94.59</v>
      </c>
      <c r="F60">
        <v>94.51</v>
      </c>
      <c r="G60">
        <v>93.01</v>
      </c>
      <c r="H60">
        <v>85.96</v>
      </c>
      <c r="I60">
        <v>92.66</v>
      </c>
      <c r="J60">
        <v>92.86</v>
      </c>
      <c r="K60" t="s">
        <v>98</v>
      </c>
      <c r="L60" t="s">
        <v>98</v>
      </c>
      <c r="M60" t="s">
        <v>98</v>
      </c>
      <c r="N60" t="s">
        <v>98</v>
      </c>
      <c r="O60">
        <v>92.26</v>
      </c>
      <c r="P60">
        <f t="shared" si="0"/>
        <v>6</v>
      </c>
      <c r="Q60">
        <f t="shared" si="1"/>
        <v>1</v>
      </c>
    </row>
    <row r="61" spans="2:17" x14ac:dyDescent="0.3">
      <c r="B61" t="s">
        <v>59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85.71</v>
      </c>
      <c r="J61">
        <v>85.71</v>
      </c>
      <c r="K61" t="s">
        <v>98</v>
      </c>
      <c r="L61" t="s">
        <v>98</v>
      </c>
      <c r="M61" t="s">
        <v>98</v>
      </c>
      <c r="N61" t="s">
        <v>98</v>
      </c>
      <c r="O61">
        <v>85.71</v>
      </c>
      <c r="P61">
        <f t="shared" si="0"/>
        <v>6</v>
      </c>
      <c r="Q61">
        <f t="shared" si="1"/>
        <v>1</v>
      </c>
    </row>
    <row r="62" spans="2:17" x14ac:dyDescent="0.3">
      <c r="B62" t="s">
        <v>60</v>
      </c>
      <c r="C62">
        <v>94.66</v>
      </c>
      <c r="D62">
        <v>91.41</v>
      </c>
      <c r="E62">
        <v>97.73</v>
      </c>
      <c r="F62">
        <v>96.75</v>
      </c>
      <c r="G62">
        <v>97.39</v>
      </c>
      <c r="H62">
        <v>93.98</v>
      </c>
      <c r="I62">
        <v>96.58</v>
      </c>
      <c r="J62">
        <v>96.67</v>
      </c>
      <c r="K62" t="s">
        <v>98</v>
      </c>
      <c r="L62" t="s">
        <v>98</v>
      </c>
      <c r="M62" t="s">
        <v>98</v>
      </c>
      <c r="N62" t="s">
        <v>98</v>
      </c>
      <c r="O62">
        <v>95.71</v>
      </c>
      <c r="P62">
        <f t="shared" si="0"/>
        <v>6</v>
      </c>
      <c r="Q62">
        <f t="shared" si="1"/>
        <v>1</v>
      </c>
    </row>
    <row r="63" spans="2:17" x14ac:dyDescent="0.3">
      <c r="B63" t="s">
        <v>61</v>
      </c>
      <c r="C63">
        <v>94.89</v>
      </c>
      <c r="D63">
        <v>94.47</v>
      </c>
      <c r="E63">
        <v>92.55</v>
      </c>
      <c r="F63">
        <v>95.58</v>
      </c>
      <c r="G63">
        <v>94.43</v>
      </c>
      <c r="H63">
        <v>95.02</v>
      </c>
      <c r="I63">
        <v>94.66</v>
      </c>
      <c r="J63">
        <v>94.53</v>
      </c>
      <c r="K63" t="s">
        <v>98</v>
      </c>
      <c r="L63" t="s">
        <v>98</v>
      </c>
      <c r="M63" t="s">
        <v>98</v>
      </c>
      <c r="N63" t="s">
        <v>98</v>
      </c>
      <c r="O63">
        <v>94.55</v>
      </c>
      <c r="P63">
        <f t="shared" si="0"/>
        <v>7</v>
      </c>
      <c r="Q63">
        <f t="shared" si="1"/>
        <v>0</v>
      </c>
    </row>
    <row r="64" spans="2:17" x14ac:dyDescent="0.3">
      <c r="B64" t="s">
        <v>62</v>
      </c>
      <c r="C64">
        <v>96.75</v>
      </c>
      <c r="D64">
        <v>96.43</v>
      </c>
      <c r="E64">
        <v>96.17</v>
      </c>
      <c r="F64">
        <v>97.54</v>
      </c>
      <c r="G64">
        <v>96.65</v>
      </c>
      <c r="H64">
        <v>95.9</v>
      </c>
      <c r="I64">
        <v>97.27</v>
      </c>
      <c r="J64">
        <v>97.12</v>
      </c>
      <c r="K64" t="s">
        <v>98</v>
      </c>
      <c r="L64" t="s">
        <v>98</v>
      </c>
      <c r="M64" t="s">
        <v>98</v>
      </c>
      <c r="N64" t="s">
        <v>98</v>
      </c>
      <c r="O64">
        <v>96.76</v>
      </c>
      <c r="P64">
        <f t="shared" si="0"/>
        <v>7</v>
      </c>
      <c r="Q64">
        <f t="shared" si="1"/>
        <v>0</v>
      </c>
    </row>
    <row r="65" spans="2:17" x14ac:dyDescent="0.3">
      <c r="B65" t="s">
        <v>63</v>
      </c>
      <c r="C65">
        <v>100</v>
      </c>
      <c r="D65">
        <v>100</v>
      </c>
      <c r="E65">
        <v>92.31</v>
      </c>
      <c r="F65">
        <v>94.44</v>
      </c>
      <c r="G65">
        <v>95.83</v>
      </c>
      <c r="H65">
        <v>95.65</v>
      </c>
      <c r="I65">
        <v>100</v>
      </c>
      <c r="J65">
        <v>100</v>
      </c>
      <c r="K65" t="s">
        <v>98</v>
      </c>
      <c r="L65" t="s">
        <v>98</v>
      </c>
      <c r="M65" t="s">
        <v>98</v>
      </c>
      <c r="N65" t="s">
        <v>98</v>
      </c>
      <c r="O65">
        <v>97.66</v>
      </c>
      <c r="P65">
        <f t="shared" si="0"/>
        <v>7</v>
      </c>
      <c r="Q65">
        <f t="shared" si="1"/>
        <v>0</v>
      </c>
    </row>
    <row r="66" spans="2:17" x14ac:dyDescent="0.3">
      <c r="B66" t="s">
        <v>64</v>
      </c>
      <c r="C66">
        <v>93.75</v>
      </c>
      <c r="D66">
        <v>96.43</v>
      </c>
      <c r="E66">
        <v>93.22</v>
      </c>
      <c r="F66">
        <v>93.42</v>
      </c>
      <c r="G66">
        <v>94.95</v>
      </c>
      <c r="H66">
        <v>97.18</v>
      </c>
      <c r="I66">
        <v>92.5</v>
      </c>
      <c r="J66">
        <v>93.42</v>
      </c>
      <c r="K66" t="s">
        <v>98</v>
      </c>
      <c r="L66" t="s">
        <v>98</v>
      </c>
      <c r="M66" t="s">
        <v>98</v>
      </c>
      <c r="N66" t="s">
        <v>98</v>
      </c>
      <c r="O66">
        <v>94.35</v>
      </c>
      <c r="P66">
        <f t="shared" si="0"/>
        <v>7</v>
      </c>
      <c r="Q66">
        <f t="shared" si="1"/>
        <v>0</v>
      </c>
    </row>
    <row r="67" spans="2:17" x14ac:dyDescent="0.3">
      <c r="B67" t="s">
        <v>65</v>
      </c>
      <c r="C67">
        <v>94.38</v>
      </c>
      <c r="D67">
        <v>95.4</v>
      </c>
      <c r="E67">
        <v>89.32</v>
      </c>
      <c r="F67">
        <v>89.86</v>
      </c>
      <c r="G67">
        <v>85.42</v>
      </c>
      <c r="H67">
        <v>87.25</v>
      </c>
      <c r="I67">
        <v>91.02</v>
      </c>
      <c r="J67">
        <v>90.77</v>
      </c>
      <c r="K67" t="s">
        <v>98</v>
      </c>
      <c r="L67" t="s">
        <v>98</v>
      </c>
      <c r="M67" t="s">
        <v>98</v>
      </c>
      <c r="N67" t="s">
        <v>98</v>
      </c>
      <c r="O67">
        <v>89.69</v>
      </c>
      <c r="P67">
        <f t="shared" si="0"/>
        <v>2</v>
      </c>
      <c r="Q67">
        <f t="shared" si="1"/>
        <v>5</v>
      </c>
    </row>
    <row r="68" spans="2:17" x14ac:dyDescent="0.3">
      <c r="B68" t="s">
        <v>66</v>
      </c>
      <c r="C68">
        <v>91.67</v>
      </c>
      <c r="D68">
        <v>88.78</v>
      </c>
      <c r="E68">
        <v>91.11</v>
      </c>
      <c r="F68">
        <v>92.52</v>
      </c>
      <c r="G68">
        <v>83.08</v>
      </c>
      <c r="H68">
        <v>94.19</v>
      </c>
      <c r="I68">
        <v>93.94</v>
      </c>
      <c r="J68">
        <v>94.95</v>
      </c>
      <c r="K68" t="s">
        <v>98</v>
      </c>
      <c r="L68" t="s">
        <v>98</v>
      </c>
      <c r="M68" t="s">
        <v>98</v>
      </c>
      <c r="N68" t="s">
        <v>98</v>
      </c>
      <c r="O68">
        <v>91.62</v>
      </c>
      <c r="P68">
        <f t="shared" ref="P68:P86" si="2">COUNTIF(C68:I68,"&gt;=91.71")</f>
        <v>3</v>
      </c>
      <c r="Q68">
        <f t="shared" ref="Q68:Q86" si="3">COUNTIF(C68:I68,"&lt;91.71")</f>
        <v>4</v>
      </c>
    </row>
    <row r="69" spans="2:17" x14ac:dyDescent="0.3">
      <c r="B69" t="s">
        <v>67</v>
      </c>
      <c r="C69">
        <v>94.27</v>
      </c>
      <c r="D69">
        <v>95.65</v>
      </c>
      <c r="E69">
        <v>95.72</v>
      </c>
      <c r="F69">
        <v>94.55</v>
      </c>
      <c r="G69">
        <v>93.37</v>
      </c>
      <c r="H69">
        <v>97.28</v>
      </c>
      <c r="I69">
        <v>95.58</v>
      </c>
      <c r="J69">
        <v>95.54</v>
      </c>
      <c r="K69" t="s">
        <v>98</v>
      </c>
      <c r="L69" t="s">
        <v>98</v>
      </c>
      <c r="M69" t="s">
        <v>98</v>
      </c>
      <c r="N69" t="s">
        <v>98</v>
      </c>
      <c r="O69">
        <v>95.2</v>
      </c>
      <c r="P69">
        <f t="shared" si="2"/>
        <v>7</v>
      </c>
      <c r="Q69">
        <f t="shared" si="3"/>
        <v>0</v>
      </c>
    </row>
    <row r="70" spans="2:17" x14ac:dyDescent="0.3">
      <c r="B70" t="s">
        <v>68</v>
      </c>
      <c r="C70">
        <v>100</v>
      </c>
      <c r="D70">
        <v>97.37</v>
      </c>
      <c r="E70">
        <v>95.92</v>
      </c>
      <c r="F70">
        <v>97.67</v>
      </c>
      <c r="G70">
        <v>0</v>
      </c>
      <c r="H70">
        <v>97.56</v>
      </c>
      <c r="I70">
        <v>100</v>
      </c>
      <c r="J70">
        <v>100</v>
      </c>
      <c r="K70" t="s">
        <v>98</v>
      </c>
      <c r="L70" t="s">
        <v>98</v>
      </c>
      <c r="M70" t="s">
        <v>98</v>
      </c>
      <c r="N70" t="s">
        <v>98</v>
      </c>
      <c r="O70">
        <v>97.44</v>
      </c>
      <c r="P70">
        <f t="shared" si="2"/>
        <v>6</v>
      </c>
      <c r="Q70">
        <f t="shared" si="3"/>
        <v>1</v>
      </c>
    </row>
    <row r="71" spans="2:17" x14ac:dyDescent="0.3">
      <c r="B71" t="s">
        <v>69</v>
      </c>
      <c r="C71">
        <v>96.43</v>
      </c>
      <c r="D71">
        <v>97.06</v>
      </c>
      <c r="E71">
        <v>88.24</v>
      </c>
      <c r="F71">
        <v>87.88</v>
      </c>
      <c r="G71">
        <v>50</v>
      </c>
      <c r="H71">
        <v>95.65</v>
      </c>
      <c r="I71">
        <v>95.24</v>
      </c>
      <c r="J71">
        <v>88.89</v>
      </c>
      <c r="K71" t="s">
        <v>98</v>
      </c>
      <c r="L71" t="s">
        <v>98</v>
      </c>
      <c r="M71" t="s">
        <v>98</v>
      </c>
      <c r="N71" t="s">
        <v>98</v>
      </c>
      <c r="O71">
        <v>91.78</v>
      </c>
      <c r="P71">
        <f t="shared" si="2"/>
        <v>4</v>
      </c>
      <c r="Q71">
        <f t="shared" si="3"/>
        <v>3</v>
      </c>
    </row>
    <row r="72" spans="2:17" x14ac:dyDescent="0.3">
      <c r="B72" t="s">
        <v>70</v>
      </c>
      <c r="C72">
        <v>100</v>
      </c>
      <c r="D72">
        <v>100</v>
      </c>
      <c r="E72">
        <v>100</v>
      </c>
      <c r="F72">
        <v>100</v>
      </c>
      <c r="G72">
        <v>92.31</v>
      </c>
      <c r="H72">
        <v>100</v>
      </c>
      <c r="I72">
        <v>100</v>
      </c>
      <c r="J72">
        <v>100</v>
      </c>
      <c r="K72" t="s">
        <v>98</v>
      </c>
      <c r="L72" t="s">
        <v>98</v>
      </c>
      <c r="M72" t="s">
        <v>98</v>
      </c>
      <c r="N72" t="s">
        <v>98</v>
      </c>
      <c r="O72">
        <v>97.37</v>
      </c>
      <c r="P72">
        <f t="shared" si="2"/>
        <v>7</v>
      </c>
      <c r="Q72">
        <f t="shared" si="3"/>
        <v>0</v>
      </c>
    </row>
    <row r="73" spans="2:17" x14ac:dyDescent="0.3">
      <c r="B73" t="s">
        <v>71</v>
      </c>
      <c r="C73">
        <v>96.13</v>
      </c>
      <c r="D73">
        <v>92.36</v>
      </c>
      <c r="E73">
        <v>94.54</v>
      </c>
      <c r="F73">
        <v>94.7</v>
      </c>
      <c r="G73">
        <v>90.32</v>
      </c>
      <c r="H73">
        <v>93.35</v>
      </c>
      <c r="I73">
        <v>92.55</v>
      </c>
      <c r="J73">
        <v>91.96</v>
      </c>
      <c r="K73" t="s">
        <v>98</v>
      </c>
      <c r="L73" t="s">
        <v>98</v>
      </c>
      <c r="M73" t="s">
        <v>98</v>
      </c>
      <c r="N73" t="s">
        <v>98</v>
      </c>
      <c r="O73">
        <v>93.05</v>
      </c>
      <c r="P73">
        <f t="shared" si="2"/>
        <v>6</v>
      </c>
      <c r="Q73">
        <f t="shared" si="3"/>
        <v>1</v>
      </c>
    </row>
    <row r="74" spans="2:17" x14ac:dyDescent="0.3">
      <c r="B74" t="s">
        <v>72</v>
      </c>
      <c r="C74">
        <v>98.11</v>
      </c>
      <c r="D74">
        <v>96.66</v>
      </c>
      <c r="E74">
        <v>96.57</v>
      </c>
      <c r="F74">
        <v>94.35</v>
      </c>
      <c r="G74">
        <v>97.7</v>
      </c>
      <c r="H74">
        <v>96.52</v>
      </c>
      <c r="I74">
        <v>96.44</v>
      </c>
      <c r="J74">
        <v>96.3</v>
      </c>
      <c r="K74" t="s">
        <v>98</v>
      </c>
      <c r="L74" t="s">
        <v>98</v>
      </c>
      <c r="M74" t="s">
        <v>98</v>
      </c>
      <c r="N74" t="s">
        <v>98</v>
      </c>
      <c r="O74">
        <v>96.52</v>
      </c>
      <c r="P74">
        <f t="shared" si="2"/>
        <v>7</v>
      </c>
      <c r="Q74">
        <f t="shared" si="3"/>
        <v>0</v>
      </c>
    </row>
    <row r="75" spans="2:17" x14ac:dyDescent="0.3">
      <c r="B75" t="s">
        <v>73</v>
      </c>
      <c r="C75">
        <v>100</v>
      </c>
      <c r="D75">
        <v>96.3</v>
      </c>
      <c r="E75">
        <v>97.37</v>
      </c>
      <c r="F75">
        <v>96.36</v>
      </c>
      <c r="G75">
        <v>94.87</v>
      </c>
      <c r="H75">
        <v>100</v>
      </c>
      <c r="I75">
        <v>97.06</v>
      </c>
      <c r="J75">
        <v>97.01</v>
      </c>
      <c r="K75" t="s">
        <v>98</v>
      </c>
      <c r="L75" t="s">
        <v>98</v>
      </c>
      <c r="M75" t="s">
        <v>98</v>
      </c>
      <c r="N75" t="s">
        <v>98</v>
      </c>
      <c r="O75">
        <v>96.6</v>
      </c>
      <c r="P75">
        <f t="shared" si="2"/>
        <v>7</v>
      </c>
      <c r="Q75">
        <f t="shared" si="3"/>
        <v>0</v>
      </c>
    </row>
    <row r="76" spans="2:17" x14ac:dyDescent="0.3">
      <c r="B76" t="s">
        <v>74</v>
      </c>
      <c r="C76">
        <v>97.42</v>
      </c>
      <c r="D76">
        <v>96.45</v>
      </c>
      <c r="E76">
        <v>97.73</v>
      </c>
      <c r="F76">
        <v>96.03</v>
      </c>
      <c r="G76">
        <v>95.79</v>
      </c>
      <c r="H76">
        <v>91.44</v>
      </c>
      <c r="I76">
        <v>91.67</v>
      </c>
      <c r="J76">
        <v>90.99</v>
      </c>
      <c r="K76" t="s">
        <v>98</v>
      </c>
      <c r="L76" t="s">
        <v>98</v>
      </c>
      <c r="M76" t="s">
        <v>98</v>
      </c>
      <c r="N76" t="s">
        <v>98</v>
      </c>
      <c r="O76">
        <v>94.41</v>
      </c>
      <c r="P76">
        <f t="shared" si="2"/>
        <v>5</v>
      </c>
      <c r="Q76">
        <f t="shared" si="3"/>
        <v>2</v>
      </c>
    </row>
    <row r="77" spans="2:17" x14ac:dyDescent="0.3">
      <c r="B77" t="s">
        <v>75</v>
      </c>
      <c r="C77">
        <v>66.67</v>
      </c>
      <c r="D77">
        <v>100</v>
      </c>
      <c r="E77">
        <v>86.36</v>
      </c>
      <c r="F77">
        <v>100</v>
      </c>
      <c r="G77">
        <v>100</v>
      </c>
      <c r="H77">
        <v>97.14</v>
      </c>
      <c r="I77">
        <v>97.5</v>
      </c>
      <c r="J77">
        <v>97.73</v>
      </c>
      <c r="K77" t="s">
        <v>98</v>
      </c>
      <c r="L77" t="s">
        <v>98</v>
      </c>
      <c r="M77" t="s">
        <v>98</v>
      </c>
      <c r="N77" t="s">
        <v>98</v>
      </c>
      <c r="O77">
        <v>95.14</v>
      </c>
      <c r="P77">
        <f t="shared" si="2"/>
        <v>5</v>
      </c>
      <c r="Q77">
        <f t="shared" si="3"/>
        <v>2</v>
      </c>
    </row>
    <row r="78" spans="2:17" x14ac:dyDescent="0.3">
      <c r="B78" t="s">
        <v>76</v>
      </c>
      <c r="C78">
        <v>100</v>
      </c>
      <c r="D78">
        <v>100</v>
      </c>
      <c r="E78">
        <v>100</v>
      </c>
      <c r="F78">
        <v>100</v>
      </c>
      <c r="G78">
        <v>90</v>
      </c>
      <c r="H78">
        <v>100</v>
      </c>
      <c r="I78">
        <v>93.94</v>
      </c>
      <c r="J78">
        <v>96.88</v>
      </c>
      <c r="K78" t="s">
        <v>98</v>
      </c>
      <c r="L78" t="s">
        <v>98</v>
      </c>
      <c r="M78" t="s">
        <v>98</v>
      </c>
      <c r="N78" t="s">
        <v>98</v>
      </c>
      <c r="O78">
        <v>93.68</v>
      </c>
      <c r="P78">
        <f t="shared" si="2"/>
        <v>6</v>
      </c>
      <c r="Q78">
        <f t="shared" si="3"/>
        <v>1</v>
      </c>
    </row>
    <row r="79" spans="2:17" x14ac:dyDescent="0.3">
      <c r="B79" t="s">
        <v>77</v>
      </c>
      <c r="C79">
        <v>97.37</v>
      </c>
      <c r="D79">
        <v>87.5</v>
      </c>
      <c r="E79">
        <v>100</v>
      </c>
      <c r="F79">
        <v>98</v>
      </c>
      <c r="G79">
        <v>96.97</v>
      </c>
      <c r="H79">
        <v>94.12</v>
      </c>
      <c r="I79">
        <v>91.36</v>
      </c>
      <c r="J79">
        <v>92.68</v>
      </c>
      <c r="K79" t="s">
        <v>98</v>
      </c>
      <c r="L79" t="s">
        <v>98</v>
      </c>
      <c r="M79" t="s">
        <v>98</v>
      </c>
      <c r="N79" t="s">
        <v>98</v>
      </c>
      <c r="O79">
        <v>94.52</v>
      </c>
      <c r="P79">
        <f t="shared" si="2"/>
        <v>5</v>
      </c>
      <c r="Q79">
        <f t="shared" si="3"/>
        <v>2</v>
      </c>
    </row>
    <row r="80" spans="2:17" x14ac:dyDescent="0.3">
      <c r="B80" t="s">
        <v>78</v>
      </c>
      <c r="C80">
        <v>95</v>
      </c>
      <c r="D80">
        <v>96.77</v>
      </c>
      <c r="E80">
        <v>98.06</v>
      </c>
      <c r="F80">
        <v>96.15</v>
      </c>
      <c r="G80">
        <v>94.66</v>
      </c>
      <c r="H80">
        <v>99.34</v>
      </c>
      <c r="I80">
        <v>98.08</v>
      </c>
      <c r="J80">
        <v>97.66</v>
      </c>
      <c r="K80" t="s">
        <v>98</v>
      </c>
      <c r="L80" t="s">
        <v>98</v>
      </c>
      <c r="M80" t="s">
        <v>98</v>
      </c>
      <c r="N80" t="s">
        <v>98</v>
      </c>
      <c r="O80">
        <v>97.21</v>
      </c>
      <c r="P80">
        <f t="shared" si="2"/>
        <v>7</v>
      </c>
      <c r="Q80">
        <f t="shared" si="3"/>
        <v>0</v>
      </c>
    </row>
    <row r="81" spans="2:17" x14ac:dyDescent="0.3">
      <c r="B81" t="s">
        <v>79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50</v>
      </c>
      <c r="I81">
        <v>100</v>
      </c>
      <c r="J81">
        <v>100</v>
      </c>
      <c r="K81" t="s">
        <v>98</v>
      </c>
      <c r="L81" t="s">
        <v>98</v>
      </c>
      <c r="M81" t="s">
        <v>98</v>
      </c>
      <c r="N81" t="s">
        <v>98</v>
      </c>
      <c r="O81">
        <v>90.91</v>
      </c>
      <c r="P81">
        <f t="shared" si="2"/>
        <v>6</v>
      </c>
      <c r="Q81">
        <f t="shared" si="3"/>
        <v>1</v>
      </c>
    </row>
    <row r="82" spans="2:17" x14ac:dyDescent="0.3">
      <c r="B82" t="s">
        <v>80</v>
      </c>
      <c r="C82">
        <v>96.61</v>
      </c>
      <c r="D82">
        <v>88</v>
      </c>
      <c r="E82">
        <v>94.74</v>
      </c>
      <c r="F82">
        <v>90.67</v>
      </c>
      <c r="G82">
        <v>96.67</v>
      </c>
      <c r="H82">
        <v>95.56</v>
      </c>
      <c r="I82">
        <v>96.72</v>
      </c>
      <c r="J82">
        <v>98.31</v>
      </c>
      <c r="K82" t="s">
        <v>98</v>
      </c>
      <c r="L82" t="s">
        <v>98</v>
      </c>
      <c r="M82" t="s">
        <v>98</v>
      </c>
      <c r="N82" t="s">
        <v>98</v>
      </c>
      <c r="O82">
        <v>95.01</v>
      </c>
      <c r="P82">
        <f t="shared" si="2"/>
        <v>5</v>
      </c>
      <c r="Q82">
        <f t="shared" si="3"/>
        <v>2</v>
      </c>
    </row>
    <row r="83" spans="2:17" x14ac:dyDescent="0.3">
      <c r="B83" t="s">
        <v>81</v>
      </c>
      <c r="C83">
        <v>100</v>
      </c>
      <c r="D83">
        <v>83.33</v>
      </c>
      <c r="E83">
        <v>100</v>
      </c>
      <c r="F83">
        <v>88.89</v>
      </c>
      <c r="G83">
        <v>90</v>
      </c>
      <c r="H83">
        <v>100</v>
      </c>
      <c r="I83">
        <v>85.71</v>
      </c>
      <c r="J83">
        <v>93.55</v>
      </c>
      <c r="K83" t="s">
        <v>98</v>
      </c>
      <c r="L83" t="s">
        <v>98</v>
      </c>
      <c r="M83" t="s">
        <v>98</v>
      </c>
      <c r="N83" t="s">
        <v>98</v>
      </c>
      <c r="O83">
        <v>89.13</v>
      </c>
      <c r="P83">
        <f t="shared" si="2"/>
        <v>3</v>
      </c>
      <c r="Q83">
        <f t="shared" si="3"/>
        <v>4</v>
      </c>
    </row>
    <row r="84" spans="2:17" x14ac:dyDescent="0.3">
      <c r="B84" t="s">
        <v>82</v>
      </c>
      <c r="C84">
        <v>100</v>
      </c>
      <c r="D84">
        <v>100</v>
      </c>
      <c r="E84">
        <v>96.51</v>
      </c>
      <c r="F84">
        <v>94.93</v>
      </c>
      <c r="G84">
        <v>97.01</v>
      </c>
      <c r="H84">
        <v>83.33</v>
      </c>
      <c r="I84">
        <v>96.33</v>
      </c>
      <c r="J84">
        <v>96.46</v>
      </c>
      <c r="K84" t="s">
        <v>98</v>
      </c>
      <c r="L84" t="s">
        <v>98</v>
      </c>
      <c r="M84" t="s">
        <v>98</v>
      </c>
      <c r="N84" t="s">
        <v>98</v>
      </c>
      <c r="O84">
        <v>95.95</v>
      </c>
      <c r="P84">
        <f t="shared" si="2"/>
        <v>6</v>
      </c>
      <c r="Q84">
        <f t="shared" si="3"/>
        <v>1</v>
      </c>
    </row>
    <row r="85" spans="2:17" x14ac:dyDescent="0.3">
      <c r="B85" t="s">
        <v>83</v>
      </c>
      <c r="C85">
        <v>100</v>
      </c>
      <c r="D85">
        <v>100</v>
      </c>
      <c r="E85">
        <v>96.88</v>
      </c>
      <c r="F85">
        <v>95.12</v>
      </c>
      <c r="G85">
        <v>95.45</v>
      </c>
      <c r="H85">
        <v>98.28</v>
      </c>
      <c r="I85">
        <v>96.88</v>
      </c>
      <c r="J85">
        <v>97.06</v>
      </c>
      <c r="K85" t="s">
        <v>98</v>
      </c>
      <c r="L85" t="s">
        <v>98</v>
      </c>
      <c r="M85" t="s">
        <v>98</v>
      </c>
      <c r="N85" t="s">
        <v>98</v>
      </c>
      <c r="O85">
        <v>96.8</v>
      </c>
      <c r="P85">
        <f t="shared" si="2"/>
        <v>7</v>
      </c>
      <c r="Q85">
        <f t="shared" si="3"/>
        <v>0</v>
      </c>
    </row>
    <row r="86" spans="2:17" x14ac:dyDescent="0.3">
      <c r="B86" t="s">
        <v>84</v>
      </c>
      <c r="C86">
        <v>95.77</v>
      </c>
      <c r="D86">
        <v>94.51</v>
      </c>
      <c r="E86">
        <v>95.15</v>
      </c>
      <c r="F86">
        <v>95.16</v>
      </c>
      <c r="G86">
        <v>93.93</v>
      </c>
      <c r="H86">
        <v>93.77</v>
      </c>
      <c r="I86">
        <v>94.45</v>
      </c>
      <c r="J86">
        <v>94.53</v>
      </c>
      <c r="K86" t="s">
        <v>98</v>
      </c>
      <c r="L86" t="s">
        <v>98</v>
      </c>
      <c r="M86" t="s">
        <v>98</v>
      </c>
      <c r="N86" t="s">
        <v>98</v>
      </c>
      <c r="O86">
        <v>94.61</v>
      </c>
      <c r="P86">
        <f t="shared" si="2"/>
        <v>7</v>
      </c>
      <c r="Q86">
        <f t="shared" si="3"/>
        <v>0</v>
      </c>
    </row>
    <row r="152" spans="6:6" x14ac:dyDescent="0.3">
      <c r="F152" s="1"/>
    </row>
    <row r="174" spans="3:10" x14ac:dyDescent="0.3">
      <c r="C174" s="1"/>
      <c r="D174" s="1"/>
      <c r="E174" s="1"/>
      <c r="F174" s="1"/>
      <c r="G174" s="1"/>
      <c r="H174" s="1"/>
      <c r="I174" s="1"/>
      <c r="J174" s="1"/>
    </row>
  </sheetData>
  <pageMargins left="0.7" right="0.7" top="0.75" bottom="0.75" header="0.3" footer="0.3"/>
  <ignoredErrors>
    <ignoredError sqref="P3:Q8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C341-3F43-405B-910E-73D42E5BA97F}">
  <sheetPr>
    <tabColor rgb="FFFF0000"/>
  </sheetPr>
  <dimension ref="A1:Q86"/>
  <sheetViews>
    <sheetView topLeftCell="A99" workbookViewId="0">
      <selection activeCell="Q89" sqref="Q89"/>
    </sheetView>
  </sheetViews>
  <sheetFormatPr defaultRowHeight="14.4" x14ac:dyDescent="0.3"/>
  <cols>
    <col min="1" max="1" width="9.77734375" bestFit="1" customWidth="1"/>
  </cols>
  <sheetData>
    <row r="1" spans="1:17" x14ac:dyDescent="0.3">
      <c r="A1" t="s">
        <v>101</v>
      </c>
    </row>
    <row r="2" spans="1:17" x14ac:dyDescent="0.3"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P2" t="s">
        <v>105</v>
      </c>
      <c r="Q2" t="s">
        <v>106</v>
      </c>
    </row>
    <row r="3" spans="1:17" x14ac:dyDescent="0.3">
      <c r="B3" t="s">
        <v>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O3">
        <v>100</v>
      </c>
      <c r="P3">
        <f>COUNTIF(C3:I3,"&gt;=95.25")</f>
        <v>7</v>
      </c>
      <c r="Q3">
        <f>COUNTIF(C3:I3,"&lt;95.25")</f>
        <v>0</v>
      </c>
    </row>
    <row r="4" spans="1:17" x14ac:dyDescent="0.3">
      <c r="B4" t="s">
        <v>1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O4">
        <v>100</v>
      </c>
      <c r="P4">
        <f t="shared" ref="P4:P67" si="0">COUNTIF(C4:I4,"&gt;=95.25")</f>
        <v>7</v>
      </c>
      <c r="Q4">
        <f t="shared" ref="Q4:Q67" si="1">COUNTIF(C4:I4,"&lt;95.25")</f>
        <v>0</v>
      </c>
    </row>
    <row r="5" spans="1:17" x14ac:dyDescent="0.3">
      <c r="B5" t="s">
        <v>2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O5">
        <v>100</v>
      </c>
      <c r="P5">
        <f t="shared" si="0"/>
        <v>7</v>
      </c>
      <c r="Q5">
        <f t="shared" si="1"/>
        <v>0</v>
      </c>
    </row>
    <row r="6" spans="1:17" x14ac:dyDescent="0.3">
      <c r="B6" t="s">
        <v>3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O6">
        <v>100</v>
      </c>
      <c r="P6">
        <f t="shared" si="0"/>
        <v>7</v>
      </c>
      <c r="Q6">
        <f t="shared" si="1"/>
        <v>0</v>
      </c>
    </row>
    <row r="7" spans="1:17" x14ac:dyDescent="0.3">
      <c r="B7" t="s">
        <v>4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O7">
        <v>100</v>
      </c>
      <c r="P7">
        <f t="shared" si="0"/>
        <v>7</v>
      </c>
      <c r="Q7">
        <f t="shared" si="1"/>
        <v>0</v>
      </c>
    </row>
    <row r="8" spans="1:17" x14ac:dyDescent="0.3">
      <c r="B8" t="s">
        <v>5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O8">
        <v>100</v>
      </c>
      <c r="P8">
        <f t="shared" si="0"/>
        <v>7</v>
      </c>
      <c r="Q8">
        <f t="shared" si="1"/>
        <v>0</v>
      </c>
    </row>
    <row r="9" spans="1:17" x14ac:dyDescent="0.3">
      <c r="B9" t="s">
        <v>6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O9">
        <v>100</v>
      </c>
      <c r="P9">
        <f t="shared" si="0"/>
        <v>7</v>
      </c>
      <c r="Q9">
        <f t="shared" si="1"/>
        <v>0</v>
      </c>
    </row>
    <row r="10" spans="1:17" x14ac:dyDescent="0.3">
      <c r="B10" t="s">
        <v>7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O10">
        <v>100</v>
      </c>
      <c r="P10">
        <f t="shared" si="0"/>
        <v>7</v>
      </c>
      <c r="Q10">
        <f t="shared" si="1"/>
        <v>0</v>
      </c>
    </row>
    <row r="11" spans="1:17" x14ac:dyDescent="0.3">
      <c r="B11" t="s">
        <v>8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O11">
        <v>100</v>
      </c>
      <c r="P11">
        <f t="shared" si="0"/>
        <v>7</v>
      </c>
      <c r="Q11">
        <f t="shared" si="1"/>
        <v>0</v>
      </c>
    </row>
    <row r="12" spans="1:17" x14ac:dyDescent="0.3">
      <c r="B12" t="s">
        <v>9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O12">
        <v>100</v>
      </c>
      <c r="P12">
        <f t="shared" si="0"/>
        <v>7</v>
      </c>
      <c r="Q12">
        <f t="shared" si="1"/>
        <v>0</v>
      </c>
    </row>
    <row r="13" spans="1:17" x14ac:dyDescent="0.3">
      <c r="B13" t="s">
        <v>10</v>
      </c>
      <c r="C13">
        <v>66.67</v>
      </c>
      <c r="D13">
        <v>100</v>
      </c>
      <c r="E13">
        <v>0</v>
      </c>
      <c r="F13">
        <v>100</v>
      </c>
      <c r="G13">
        <v>100</v>
      </c>
      <c r="H13">
        <v>100</v>
      </c>
      <c r="I13">
        <v>100</v>
      </c>
      <c r="J13">
        <v>100</v>
      </c>
      <c r="O13">
        <v>80</v>
      </c>
      <c r="P13">
        <f t="shared" si="0"/>
        <v>5</v>
      </c>
      <c r="Q13">
        <f t="shared" si="1"/>
        <v>2</v>
      </c>
    </row>
    <row r="14" spans="1:17" x14ac:dyDescent="0.3">
      <c r="B14" t="s">
        <v>11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O14">
        <v>100</v>
      </c>
      <c r="P14">
        <f t="shared" si="0"/>
        <v>7</v>
      </c>
      <c r="Q14">
        <f t="shared" si="1"/>
        <v>0</v>
      </c>
    </row>
    <row r="15" spans="1:17" x14ac:dyDescent="0.3">
      <c r="B15" t="s">
        <v>12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O15">
        <v>100</v>
      </c>
      <c r="P15">
        <f t="shared" si="0"/>
        <v>7</v>
      </c>
      <c r="Q15">
        <f t="shared" si="1"/>
        <v>0</v>
      </c>
    </row>
    <row r="16" spans="1:17" x14ac:dyDescent="0.3">
      <c r="B16" t="s">
        <v>13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O16">
        <v>100</v>
      </c>
      <c r="P16">
        <f t="shared" si="0"/>
        <v>7</v>
      </c>
      <c r="Q16">
        <f t="shared" si="1"/>
        <v>0</v>
      </c>
    </row>
    <row r="17" spans="2:17" x14ac:dyDescent="0.3">
      <c r="B17" t="s">
        <v>14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O17">
        <v>100</v>
      </c>
      <c r="P17">
        <f t="shared" si="0"/>
        <v>7</v>
      </c>
      <c r="Q17">
        <f t="shared" si="1"/>
        <v>0</v>
      </c>
    </row>
    <row r="18" spans="2:17" x14ac:dyDescent="0.3">
      <c r="B18" t="s">
        <v>15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O18">
        <v>100</v>
      </c>
      <c r="P18">
        <f t="shared" si="0"/>
        <v>7</v>
      </c>
      <c r="Q18">
        <f t="shared" si="1"/>
        <v>0</v>
      </c>
    </row>
    <row r="19" spans="2:17" x14ac:dyDescent="0.3">
      <c r="B19" t="s">
        <v>16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O19">
        <v>100</v>
      </c>
      <c r="P19">
        <f t="shared" si="0"/>
        <v>7</v>
      </c>
      <c r="Q19">
        <f t="shared" si="1"/>
        <v>0</v>
      </c>
    </row>
    <row r="20" spans="2:17" x14ac:dyDescent="0.3">
      <c r="B20" t="s">
        <v>17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O20">
        <v>100</v>
      </c>
      <c r="P20">
        <f t="shared" si="0"/>
        <v>7</v>
      </c>
      <c r="Q20">
        <f t="shared" si="1"/>
        <v>0</v>
      </c>
    </row>
    <row r="21" spans="2:17" x14ac:dyDescent="0.3">
      <c r="B21" t="s">
        <v>18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O21">
        <v>100</v>
      </c>
      <c r="P21">
        <f t="shared" si="0"/>
        <v>7</v>
      </c>
      <c r="Q21">
        <f t="shared" si="1"/>
        <v>0</v>
      </c>
    </row>
    <row r="22" spans="2:17" x14ac:dyDescent="0.3">
      <c r="B22" t="s">
        <v>19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O22">
        <v>100</v>
      </c>
      <c r="P22">
        <f t="shared" si="0"/>
        <v>7</v>
      </c>
      <c r="Q22">
        <f t="shared" si="1"/>
        <v>0</v>
      </c>
    </row>
    <row r="23" spans="2:17" x14ac:dyDescent="0.3">
      <c r="B23" t="s">
        <v>20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O23">
        <v>100</v>
      </c>
      <c r="P23">
        <f t="shared" si="0"/>
        <v>7</v>
      </c>
      <c r="Q23">
        <f t="shared" si="1"/>
        <v>0</v>
      </c>
    </row>
    <row r="24" spans="2:17" x14ac:dyDescent="0.3">
      <c r="B24" t="s">
        <v>21</v>
      </c>
      <c r="C24">
        <v>100</v>
      </c>
      <c r="D24">
        <v>75</v>
      </c>
      <c r="E24">
        <v>100</v>
      </c>
      <c r="F24">
        <v>100</v>
      </c>
      <c r="G24">
        <v>100</v>
      </c>
      <c r="H24">
        <v>80</v>
      </c>
      <c r="I24">
        <v>100</v>
      </c>
      <c r="J24">
        <v>100</v>
      </c>
      <c r="O24">
        <v>90.32</v>
      </c>
      <c r="P24">
        <f t="shared" si="0"/>
        <v>5</v>
      </c>
      <c r="Q24">
        <f t="shared" si="1"/>
        <v>2</v>
      </c>
    </row>
    <row r="25" spans="2:17" x14ac:dyDescent="0.3">
      <c r="B25" t="s">
        <v>22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O25">
        <v>100</v>
      </c>
      <c r="P25">
        <f t="shared" si="0"/>
        <v>7</v>
      </c>
      <c r="Q25">
        <f t="shared" si="1"/>
        <v>0</v>
      </c>
    </row>
    <row r="26" spans="2:17" x14ac:dyDescent="0.3">
      <c r="B26" t="s">
        <v>23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66.67</v>
      </c>
      <c r="J26">
        <v>100</v>
      </c>
      <c r="O26">
        <v>91.67</v>
      </c>
      <c r="P26">
        <f t="shared" si="0"/>
        <v>6</v>
      </c>
      <c r="Q26">
        <f t="shared" si="1"/>
        <v>1</v>
      </c>
    </row>
    <row r="27" spans="2:17" x14ac:dyDescent="0.3">
      <c r="B27" t="s">
        <v>24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O27">
        <v>100</v>
      </c>
      <c r="P27">
        <f t="shared" si="0"/>
        <v>7</v>
      </c>
      <c r="Q27">
        <f t="shared" si="1"/>
        <v>0</v>
      </c>
    </row>
    <row r="28" spans="2:17" x14ac:dyDescent="0.3">
      <c r="B28" t="s">
        <v>25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O28">
        <v>100</v>
      </c>
      <c r="P28">
        <f t="shared" si="0"/>
        <v>7</v>
      </c>
      <c r="Q28">
        <f t="shared" si="1"/>
        <v>0</v>
      </c>
    </row>
    <row r="29" spans="2:17" x14ac:dyDescent="0.3">
      <c r="B29" t="s">
        <v>26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O29">
        <v>100</v>
      </c>
      <c r="P29">
        <f t="shared" si="0"/>
        <v>7</v>
      </c>
      <c r="Q29">
        <f t="shared" si="1"/>
        <v>0</v>
      </c>
    </row>
    <row r="30" spans="2:17" x14ac:dyDescent="0.3">
      <c r="B30" t="s">
        <v>27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O30">
        <v>100</v>
      </c>
      <c r="P30">
        <f t="shared" si="0"/>
        <v>7</v>
      </c>
      <c r="Q30">
        <f t="shared" si="1"/>
        <v>0</v>
      </c>
    </row>
    <row r="31" spans="2:17" x14ac:dyDescent="0.3">
      <c r="B31" t="s">
        <v>28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O31">
        <v>100</v>
      </c>
      <c r="P31">
        <f t="shared" si="0"/>
        <v>7</v>
      </c>
      <c r="Q31">
        <f t="shared" si="1"/>
        <v>0</v>
      </c>
    </row>
    <row r="32" spans="2:17" x14ac:dyDescent="0.3">
      <c r="B32" t="s">
        <v>29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O32">
        <v>100</v>
      </c>
      <c r="P32">
        <f t="shared" si="0"/>
        <v>7</v>
      </c>
      <c r="Q32">
        <f t="shared" si="1"/>
        <v>0</v>
      </c>
    </row>
    <row r="33" spans="2:17" x14ac:dyDescent="0.3">
      <c r="B33" t="s">
        <v>30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O33">
        <v>100</v>
      </c>
      <c r="P33">
        <f t="shared" si="0"/>
        <v>7</v>
      </c>
      <c r="Q33">
        <f t="shared" si="1"/>
        <v>0</v>
      </c>
    </row>
    <row r="34" spans="2:17" x14ac:dyDescent="0.3">
      <c r="B34" t="s">
        <v>31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O34">
        <v>100</v>
      </c>
      <c r="P34">
        <f t="shared" si="0"/>
        <v>7</v>
      </c>
      <c r="Q34">
        <f t="shared" si="1"/>
        <v>0</v>
      </c>
    </row>
    <row r="35" spans="2:17" x14ac:dyDescent="0.3">
      <c r="B35" t="s">
        <v>32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O35">
        <v>100</v>
      </c>
      <c r="P35">
        <f t="shared" si="0"/>
        <v>7</v>
      </c>
      <c r="Q35">
        <f t="shared" si="1"/>
        <v>0</v>
      </c>
    </row>
    <row r="36" spans="2:17" x14ac:dyDescent="0.3">
      <c r="B36" t="s">
        <v>33</v>
      </c>
      <c r="C36" t="s">
        <v>34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O36">
        <v>100</v>
      </c>
      <c r="P36">
        <f t="shared" si="0"/>
        <v>6</v>
      </c>
      <c r="Q36">
        <f t="shared" si="1"/>
        <v>0</v>
      </c>
    </row>
    <row r="37" spans="2:17" x14ac:dyDescent="0.3">
      <c r="B37" t="s">
        <v>35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O37">
        <v>100</v>
      </c>
      <c r="P37">
        <f t="shared" si="0"/>
        <v>7</v>
      </c>
      <c r="Q37">
        <f t="shared" si="1"/>
        <v>0</v>
      </c>
    </row>
    <row r="38" spans="2:17" x14ac:dyDescent="0.3">
      <c r="B38" t="s">
        <v>36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O38">
        <v>100</v>
      </c>
      <c r="P38">
        <f t="shared" si="0"/>
        <v>7</v>
      </c>
      <c r="Q38">
        <f t="shared" si="1"/>
        <v>0</v>
      </c>
    </row>
    <row r="39" spans="2:17" x14ac:dyDescent="0.3">
      <c r="B39" t="s">
        <v>37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O39">
        <v>100</v>
      </c>
      <c r="P39">
        <f t="shared" si="0"/>
        <v>7</v>
      </c>
      <c r="Q39">
        <f t="shared" si="1"/>
        <v>0</v>
      </c>
    </row>
    <row r="40" spans="2:17" x14ac:dyDescent="0.3">
      <c r="B40" t="s">
        <v>38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O40">
        <v>100</v>
      </c>
      <c r="P40">
        <f t="shared" si="0"/>
        <v>7</v>
      </c>
      <c r="Q40">
        <f t="shared" si="1"/>
        <v>0</v>
      </c>
    </row>
    <row r="41" spans="2:17" x14ac:dyDescent="0.3">
      <c r="B41" t="s">
        <v>39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66.67</v>
      </c>
      <c r="I41">
        <v>100</v>
      </c>
      <c r="J41">
        <v>100</v>
      </c>
      <c r="O41">
        <v>87.5</v>
      </c>
      <c r="P41">
        <f t="shared" si="0"/>
        <v>6</v>
      </c>
      <c r="Q41">
        <f t="shared" si="1"/>
        <v>1</v>
      </c>
    </row>
    <row r="42" spans="2:17" x14ac:dyDescent="0.3">
      <c r="B42" t="s">
        <v>40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O42">
        <v>100</v>
      </c>
      <c r="P42">
        <f t="shared" si="0"/>
        <v>7</v>
      </c>
      <c r="Q42">
        <f t="shared" si="1"/>
        <v>0</v>
      </c>
    </row>
    <row r="43" spans="2:17" x14ac:dyDescent="0.3">
      <c r="B43" t="s">
        <v>41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O43">
        <v>100</v>
      </c>
      <c r="P43">
        <f t="shared" si="0"/>
        <v>7</v>
      </c>
      <c r="Q43">
        <f t="shared" si="1"/>
        <v>0</v>
      </c>
    </row>
    <row r="44" spans="2:17" x14ac:dyDescent="0.3">
      <c r="B44" t="s">
        <v>42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O44">
        <v>100</v>
      </c>
      <c r="P44">
        <f t="shared" si="0"/>
        <v>7</v>
      </c>
      <c r="Q44">
        <f t="shared" si="1"/>
        <v>0</v>
      </c>
    </row>
    <row r="45" spans="2:17" x14ac:dyDescent="0.3">
      <c r="B45" t="s">
        <v>43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O45">
        <v>100</v>
      </c>
      <c r="P45">
        <f t="shared" si="0"/>
        <v>7</v>
      </c>
      <c r="Q45">
        <f t="shared" si="1"/>
        <v>0</v>
      </c>
    </row>
    <row r="46" spans="2:17" x14ac:dyDescent="0.3">
      <c r="B46" t="s">
        <v>44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O46">
        <v>100</v>
      </c>
      <c r="P46">
        <f t="shared" si="0"/>
        <v>7</v>
      </c>
      <c r="Q46">
        <f t="shared" si="1"/>
        <v>0</v>
      </c>
    </row>
    <row r="47" spans="2:17" x14ac:dyDescent="0.3">
      <c r="B47" t="s">
        <v>45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O47">
        <v>100</v>
      </c>
      <c r="P47">
        <f t="shared" si="0"/>
        <v>7</v>
      </c>
      <c r="Q47">
        <f t="shared" si="1"/>
        <v>0</v>
      </c>
    </row>
    <row r="48" spans="2:17" x14ac:dyDescent="0.3">
      <c r="B48" t="s">
        <v>46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O48">
        <v>100</v>
      </c>
      <c r="P48">
        <f t="shared" si="0"/>
        <v>7</v>
      </c>
      <c r="Q48">
        <f t="shared" si="1"/>
        <v>0</v>
      </c>
    </row>
    <row r="49" spans="2:17" x14ac:dyDescent="0.3">
      <c r="B49" t="s">
        <v>47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O49">
        <v>100</v>
      </c>
      <c r="P49">
        <f t="shared" si="0"/>
        <v>7</v>
      </c>
      <c r="Q49">
        <f t="shared" si="1"/>
        <v>0</v>
      </c>
    </row>
    <row r="50" spans="2:17" x14ac:dyDescent="0.3">
      <c r="B50" t="s">
        <v>48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O50">
        <v>100</v>
      </c>
      <c r="P50">
        <f t="shared" si="0"/>
        <v>7</v>
      </c>
      <c r="Q50">
        <f t="shared" si="1"/>
        <v>0</v>
      </c>
    </row>
    <row r="51" spans="2:17" x14ac:dyDescent="0.3">
      <c r="B51" t="s">
        <v>49</v>
      </c>
      <c r="C51">
        <v>91.67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O51">
        <v>96.3</v>
      </c>
      <c r="P51">
        <f t="shared" si="0"/>
        <v>6</v>
      </c>
      <c r="Q51">
        <f t="shared" si="1"/>
        <v>1</v>
      </c>
    </row>
    <row r="52" spans="2:17" x14ac:dyDescent="0.3">
      <c r="B52" t="s">
        <v>50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O52">
        <v>100</v>
      </c>
      <c r="P52">
        <f t="shared" si="0"/>
        <v>7</v>
      </c>
      <c r="Q52">
        <f t="shared" si="1"/>
        <v>0</v>
      </c>
    </row>
    <row r="53" spans="2:17" x14ac:dyDescent="0.3">
      <c r="B53" t="s">
        <v>51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O53">
        <v>100</v>
      </c>
      <c r="P53">
        <f t="shared" si="0"/>
        <v>7</v>
      </c>
      <c r="Q53">
        <f t="shared" si="1"/>
        <v>0</v>
      </c>
    </row>
    <row r="54" spans="2:17" x14ac:dyDescent="0.3">
      <c r="B54" t="s">
        <v>52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O54">
        <v>100</v>
      </c>
      <c r="P54">
        <f t="shared" si="0"/>
        <v>7</v>
      </c>
      <c r="Q54">
        <f t="shared" si="1"/>
        <v>0</v>
      </c>
    </row>
    <row r="55" spans="2:17" x14ac:dyDescent="0.3">
      <c r="B55" t="s">
        <v>53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O55">
        <v>100</v>
      </c>
      <c r="P55">
        <f t="shared" si="0"/>
        <v>7</v>
      </c>
      <c r="Q55">
        <f t="shared" si="1"/>
        <v>0</v>
      </c>
    </row>
    <row r="56" spans="2:17" x14ac:dyDescent="0.3">
      <c r="B56" t="s">
        <v>54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O56">
        <v>100</v>
      </c>
      <c r="P56">
        <f t="shared" si="0"/>
        <v>7</v>
      </c>
      <c r="Q56">
        <f t="shared" si="1"/>
        <v>0</v>
      </c>
    </row>
    <row r="57" spans="2:17" x14ac:dyDescent="0.3">
      <c r="B57" t="s">
        <v>55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O57">
        <v>100</v>
      </c>
      <c r="P57">
        <f t="shared" si="0"/>
        <v>7</v>
      </c>
      <c r="Q57">
        <f t="shared" si="1"/>
        <v>0</v>
      </c>
    </row>
    <row r="58" spans="2:17" x14ac:dyDescent="0.3">
      <c r="B58" t="s">
        <v>56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O58">
        <v>100</v>
      </c>
      <c r="P58">
        <f t="shared" si="0"/>
        <v>7</v>
      </c>
      <c r="Q58">
        <f t="shared" si="1"/>
        <v>0</v>
      </c>
    </row>
    <row r="59" spans="2:17" x14ac:dyDescent="0.3">
      <c r="B59" t="s">
        <v>57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O59">
        <v>100</v>
      </c>
      <c r="P59">
        <f t="shared" si="0"/>
        <v>7</v>
      </c>
      <c r="Q59">
        <f t="shared" si="1"/>
        <v>0</v>
      </c>
    </row>
    <row r="60" spans="2:17" x14ac:dyDescent="0.3">
      <c r="B60" t="s">
        <v>58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O60">
        <v>100</v>
      </c>
      <c r="P60">
        <f t="shared" si="0"/>
        <v>7</v>
      </c>
      <c r="Q60">
        <f t="shared" si="1"/>
        <v>0</v>
      </c>
    </row>
    <row r="61" spans="2:17" x14ac:dyDescent="0.3">
      <c r="B61" t="s">
        <v>59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O61">
        <v>100</v>
      </c>
      <c r="P61">
        <f t="shared" si="0"/>
        <v>7</v>
      </c>
      <c r="Q61">
        <f t="shared" si="1"/>
        <v>0</v>
      </c>
    </row>
    <row r="62" spans="2:17" x14ac:dyDescent="0.3">
      <c r="B62" t="s">
        <v>60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O62">
        <v>100</v>
      </c>
      <c r="P62">
        <f t="shared" si="0"/>
        <v>7</v>
      </c>
      <c r="Q62">
        <f t="shared" si="1"/>
        <v>0</v>
      </c>
    </row>
    <row r="63" spans="2:17" x14ac:dyDescent="0.3">
      <c r="B63" t="s">
        <v>61</v>
      </c>
      <c r="C63">
        <v>100</v>
      </c>
      <c r="D63">
        <v>100</v>
      </c>
      <c r="E63">
        <v>90</v>
      </c>
      <c r="F63">
        <v>100</v>
      </c>
      <c r="G63">
        <v>100</v>
      </c>
      <c r="H63">
        <v>100</v>
      </c>
      <c r="I63">
        <v>100</v>
      </c>
      <c r="J63">
        <v>100</v>
      </c>
      <c r="O63">
        <v>96.88</v>
      </c>
      <c r="P63">
        <f t="shared" si="0"/>
        <v>6</v>
      </c>
      <c r="Q63">
        <f t="shared" si="1"/>
        <v>1</v>
      </c>
    </row>
    <row r="64" spans="2:17" x14ac:dyDescent="0.3">
      <c r="B64" t="s">
        <v>62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O64">
        <v>100</v>
      </c>
      <c r="P64">
        <f t="shared" si="0"/>
        <v>7</v>
      </c>
      <c r="Q64">
        <f t="shared" si="1"/>
        <v>0</v>
      </c>
    </row>
    <row r="65" spans="2:17" x14ac:dyDescent="0.3">
      <c r="B65" t="s">
        <v>63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O65">
        <v>100</v>
      </c>
      <c r="P65">
        <f t="shared" si="0"/>
        <v>7</v>
      </c>
      <c r="Q65">
        <f t="shared" si="1"/>
        <v>0</v>
      </c>
    </row>
    <row r="66" spans="2:17" x14ac:dyDescent="0.3">
      <c r="B66" t="s">
        <v>64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O66">
        <v>100</v>
      </c>
      <c r="P66">
        <f t="shared" si="0"/>
        <v>7</v>
      </c>
      <c r="Q66">
        <f t="shared" si="1"/>
        <v>0</v>
      </c>
    </row>
    <row r="67" spans="2:17" x14ac:dyDescent="0.3">
      <c r="B67" t="s">
        <v>65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89.47</v>
      </c>
      <c r="J67">
        <v>100</v>
      </c>
      <c r="O67">
        <v>95.24</v>
      </c>
      <c r="P67">
        <f t="shared" si="0"/>
        <v>6</v>
      </c>
      <c r="Q67">
        <f t="shared" si="1"/>
        <v>1</v>
      </c>
    </row>
    <row r="68" spans="2:17" x14ac:dyDescent="0.3">
      <c r="B68" t="s">
        <v>66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O68">
        <v>100</v>
      </c>
      <c r="P68">
        <f t="shared" ref="P68:P86" si="2">COUNTIF(C68:I68,"&gt;=95.25")</f>
        <v>7</v>
      </c>
      <c r="Q68">
        <f t="shared" ref="Q68:Q86" si="3">COUNTIF(C68:I68,"&lt;95.25")</f>
        <v>0</v>
      </c>
    </row>
    <row r="69" spans="2:17" x14ac:dyDescent="0.3">
      <c r="B69" t="s">
        <v>67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O69">
        <v>100</v>
      </c>
      <c r="P69">
        <f t="shared" si="2"/>
        <v>7</v>
      </c>
      <c r="Q69">
        <f t="shared" si="3"/>
        <v>0</v>
      </c>
    </row>
    <row r="70" spans="2:17" x14ac:dyDescent="0.3">
      <c r="B70" t="s">
        <v>68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O70">
        <v>100</v>
      </c>
      <c r="P70">
        <f t="shared" si="2"/>
        <v>7</v>
      </c>
      <c r="Q70">
        <f t="shared" si="3"/>
        <v>0</v>
      </c>
    </row>
    <row r="71" spans="2:17" x14ac:dyDescent="0.3">
      <c r="B71" t="s">
        <v>69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O71">
        <v>100</v>
      </c>
      <c r="P71">
        <f t="shared" si="2"/>
        <v>7</v>
      </c>
      <c r="Q71">
        <f t="shared" si="3"/>
        <v>0</v>
      </c>
    </row>
    <row r="72" spans="2:17" x14ac:dyDescent="0.3">
      <c r="B72" t="s">
        <v>70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O72">
        <v>100</v>
      </c>
      <c r="P72">
        <f t="shared" si="2"/>
        <v>7</v>
      </c>
      <c r="Q72">
        <f t="shared" si="3"/>
        <v>0</v>
      </c>
    </row>
    <row r="73" spans="2:17" x14ac:dyDescent="0.3">
      <c r="B73" t="s">
        <v>71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O73">
        <v>100</v>
      </c>
      <c r="P73">
        <f t="shared" si="2"/>
        <v>7</v>
      </c>
      <c r="Q73">
        <f t="shared" si="3"/>
        <v>0</v>
      </c>
    </row>
    <row r="74" spans="2:17" x14ac:dyDescent="0.3">
      <c r="B74" t="s">
        <v>72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50</v>
      </c>
      <c r="J74">
        <v>100</v>
      </c>
      <c r="O74">
        <v>96.3</v>
      </c>
      <c r="P74">
        <f t="shared" si="2"/>
        <v>6</v>
      </c>
      <c r="Q74">
        <f t="shared" si="3"/>
        <v>1</v>
      </c>
    </row>
    <row r="75" spans="2:17" x14ac:dyDescent="0.3">
      <c r="B75" t="s">
        <v>73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O75">
        <v>100</v>
      </c>
      <c r="P75">
        <f t="shared" si="2"/>
        <v>7</v>
      </c>
      <c r="Q75">
        <f t="shared" si="3"/>
        <v>0</v>
      </c>
    </row>
    <row r="76" spans="2:17" x14ac:dyDescent="0.3">
      <c r="B76" t="s">
        <v>74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O76">
        <v>100</v>
      </c>
      <c r="P76">
        <f t="shared" si="2"/>
        <v>7</v>
      </c>
      <c r="Q76">
        <f t="shared" si="3"/>
        <v>0</v>
      </c>
    </row>
    <row r="77" spans="2:17" x14ac:dyDescent="0.3">
      <c r="B77" t="s">
        <v>75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O77">
        <v>100</v>
      </c>
      <c r="P77">
        <f t="shared" si="2"/>
        <v>7</v>
      </c>
      <c r="Q77">
        <f t="shared" si="3"/>
        <v>0</v>
      </c>
    </row>
    <row r="78" spans="2:17" x14ac:dyDescent="0.3">
      <c r="B78" t="s">
        <v>76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O78">
        <v>100</v>
      </c>
      <c r="P78">
        <f t="shared" si="2"/>
        <v>7</v>
      </c>
      <c r="Q78">
        <f t="shared" si="3"/>
        <v>0</v>
      </c>
    </row>
    <row r="79" spans="2:17" x14ac:dyDescent="0.3">
      <c r="B79" t="s">
        <v>77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75</v>
      </c>
      <c r="I79">
        <v>100</v>
      </c>
      <c r="J79">
        <v>100</v>
      </c>
      <c r="O79">
        <v>83.33</v>
      </c>
      <c r="P79">
        <f t="shared" si="2"/>
        <v>6</v>
      </c>
      <c r="Q79">
        <f t="shared" si="3"/>
        <v>1</v>
      </c>
    </row>
    <row r="80" spans="2:17" x14ac:dyDescent="0.3">
      <c r="B80" t="s">
        <v>78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O80">
        <v>100</v>
      </c>
      <c r="P80">
        <f t="shared" si="2"/>
        <v>7</v>
      </c>
      <c r="Q80">
        <f t="shared" si="3"/>
        <v>0</v>
      </c>
    </row>
    <row r="81" spans="2:17" x14ac:dyDescent="0.3">
      <c r="B81" t="s">
        <v>79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O81">
        <v>100</v>
      </c>
      <c r="P81">
        <f t="shared" si="2"/>
        <v>7</v>
      </c>
      <c r="Q81">
        <f t="shared" si="3"/>
        <v>0</v>
      </c>
    </row>
    <row r="82" spans="2:17" x14ac:dyDescent="0.3">
      <c r="B82" t="s">
        <v>80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O82">
        <v>100</v>
      </c>
      <c r="P82">
        <f t="shared" si="2"/>
        <v>7</v>
      </c>
      <c r="Q82">
        <f t="shared" si="3"/>
        <v>0</v>
      </c>
    </row>
    <row r="83" spans="2:17" x14ac:dyDescent="0.3">
      <c r="B83" t="s">
        <v>81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O83">
        <v>100</v>
      </c>
      <c r="P83">
        <f t="shared" si="2"/>
        <v>7</v>
      </c>
      <c r="Q83">
        <f t="shared" si="3"/>
        <v>0</v>
      </c>
    </row>
    <row r="84" spans="2:17" x14ac:dyDescent="0.3">
      <c r="B84" t="s">
        <v>82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O84">
        <v>100</v>
      </c>
      <c r="P84">
        <f t="shared" si="2"/>
        <v>7</v>
      </c>
      <c r="Q84">
        <f t="shared" si="3"/>
        <v>0</v>
      </c>
    </row>
    <row r="85" spans="2:17" x14ac:dyDescent="0.3">
      <c r="B85" t="s">
        <v>83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O85">
        <v>100</v>
      </c>
      <c r="P85">
        <f t="shared" si="2"/>
        <v>7</v>
      </c>
      <c r="Q85">
        <f t="shared" si="3"/>
        <v>0</v>
      </c>
    </row>
    <row r="86" spans="2:17" x14ac:dyDescent="0.3">
      <c r="B86" t="s">
        <v>84</v>
      </c>
      <c r="C86">
        <v>96.67</v>
      </c>
      <c r="D86">
        <v>95.74</v>
      </c>
      <c r="E86">
        <v>96.08</v>
      </c>
      <c r="F86">
        <v>100</v>
      </c>
      <c r="G86">
        <v>100</v>
      </c>
      <c r="H86">
        <v>95.71</v>
      </c>
      <c r="I86">
        <v>94.37</v>
      </c>
      <c r="J86">
        <v>100</v>
      </c>
      <c r="O86">
        <v>96.93</v>
      </c>
      <c r="P86">
        <f t="shared" si="2"/>
        <v>6</v>
      </c>
      <c r="Q86">
        <f t="shared" si="3"/>
        <v>1</v>
      </c>
    </row>
  </sheetData>
  <pageMargins left="0.7" right="0.7" top="0.75" bottom="0.75" header="0.3" footer="0.3"/>
  <ignoredErrors>
    <ignoredError sqref="P3:Q8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EF94-7719-46F2-8F6E-EE54F65DFF28}">
  <sheetPr>
    <tabColor rgb="FF00B050"/>
  </sheetPr>
  <dimension ref="A1:Q262"/>
  <sheetViews>
    <sheetView topLeftCell="A75" workbookViewId="0">
      <selection activeCell="R89" sqref="R89"/>
    </sheetView>
  </sheetViews>
  <sheetFormatPr defaultRowHeight="14.4" x14ac:dyDescent="0.3"/>
  <sheetData>
    <row r="1" spans="1:17" x14ac:dyDescent="0.3">
      <c r="A1" t="s">
        <v>102</v>
      </c>
    </row>
    <row r="2" spans="1:17" x14ac:dyDescent="0.3"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P2" t="s">
        <v>105</v>
      </c>
      <c r="Q2" t="s">
        <v>106</v>
      </c>
    </row>
    <row r="3" spans="1:17" x14ac:dyDescent="0.3">
      <c r="B3" t="s">
        <v>0</v>
      </c>
      <c r="C3">
        <v>100</v>
      </c>
      <c r="D3">
        <v>100</v>
      </c>
      <c r="E3">
        <v>87.5</v>
      </c>
      <c r="F3">
        <v>100</v>
      </c>
      <c r="G3">
        <v>100</v>
      </c>
      <c r="H3">
        <v>100</v>
      </c>
      <c r="I3">
        <v>100</v>
      </c>
      <c r="J3">
        <v>100</v>
      </c>
      <c r="O3">
        <v>98.18</v>
      </c>
      <c r="P3">
        <f>COUNTIF(C3:I3,"&gt;=95")</f>
        <v>6</v>
      </c>
      <c r="Q3">
        <f>COUNTIF(C3:I3,"&lt;95")</f>
        <v>1</v>
      </c>
    </row>
    <row r="4" spans="1:17" x14ac:dyDescent="0.3">
      <c r="B4" t="s">
        <v>1</v>
      </c>
      <c r="C4">
        <v>95.35</v>
      </c>
      <c r="D4">
        <v>100</v>
      </c>
      <c r="E4">
        <v>96.15</v>
      </c>
      <c r="F4">
        <v>100</v>
      </c>
      <c r="G4">
        <v>100</v>
      </c>
      <c r="H4">
        <v>100</v>
      </c>
      <c r="I4">
        <v>90.41</v>
      </c>
      <c r="J4">
        <v>100</v>
      </c>
      <c r="O4">
        <v>95.48</v>
      </c>
      <c r="P4">
        <f t="shared" ref="P4:P67" si="0">COUNTIF(C4:I4,"&gt;=95")</f>
        <v>6</v>
      </c>
      <c r="Q4">
        <f t="shared" ref="Q4:Q67" si="1">COUNTIF(C4:I4,"&lt;95")</f>
        <v>1</v>
      </c>
    </row>
    <row r="5" spans="1:17" x14ac:dyDescent="0.3">
      <c r="B5" t="s">
        <v>2</v>
      </c>
      <c r="C5">
        <v>92.73</v>
      </c>
      <c r="D5">
        <v>97.44</v>
      </c>
      <c r="E5">
        <v>100</v>
      </c>
      <c r="F5">
        <v>100</v>
      </c>
      <c r="G5">
        <v>100</v>
      </c>
      <c r="H5">
        <v>96.72</v>
      </c>
      <c r="I5">
        <v>98.36</v>
      </c>
      <c r="J5">
        <v>100</v>
      </c>
      <c r="O5">
        <v>97.87</v>
      </c>
      <c r="P5">
        <f t="shared" si="0"/>
        <v>6</v>
      </c>
      <c r="Q5">
        <f t="shared" si="1"/>
        <v>1</v>
      </c>
    </row>
    <row r="6" spans="1:17" x14ac:dyDescent="0.3">
      <c r="B6" t="s">
        <v>3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O6">
        <v>100</v>
      </c>
      <c r="P6">
        <f t="shared" si="0"/>
        <v>7</v>
      </c>
      <c r="Q6">
        <f t="shared" si="1"/>
        <v>0</v>
      </c>
    </row>
    <row r="7" spans="1:17" x14ac:dyDescent="0.3">
      <c r="B7" t="s">
        <v>4</v>
      </c>
      <c r="C7">
        <v>100</v>
      </c>
      <c r="D7">
        <v>90</v>
      </c>
      <c r="E7">
        <v>80</v>
      </c>
      <c r="F7">
        <v>94.44</v>
      </c>
      <c r="G7">
        <v>100</v>
      </c>
      <c r="H7">
        <v>100</v>
      </c>
      <c r="I7">
        <v>100</v>
      </c>
      <c r="J7">
        <v>100</v>
      </c>
      <c r="O7">
        <v>94.37</v>
      </c>
      <c r="P7">
        <f t="shared" si="0"/>
        <v>4</v>
      </c>
      <c r="Q7">
        <f t="shared" si="1"/>
        <v>3</v>
      </c>
    </row>
    <row r="8" spans="1:17" x14ac:dyDescent="0.3">
      <c r="B8" t="s">
        <v>5</v>
      </c>
      <c r="C8">
        <v>95.45</v>
      </c>
      <c r="D8">
        <v>92.31</v>
      </c>
      <c r="E8">
        <v>92.86</v>
      </c>
      <c r="F8">
        <v>97.59</v>
      </c>
      <c r="G8">
        <v>94.23</v>
      </c>
      <c r="H8">
        <v>96.15</v>
      </c>
      <c r="I8">
        <v>98.25</v>
      </c>
      <c r="J8">
        <v>100</v>
      </c>
      <c r="O8">
        <v>95.51</v>
      </c>
      <c r="P8">
        <f t="shared" si="0"/>
        <v>4</v>
      </c>
      <c r="Q8">
        <f t="shared" si="1"/>
        <v>3</v>
      </c>
    </row>
    <row r="9" spans="1:17" x14ac:dyDescent="0.3">
      <c r="B9" t="s">
        <v>6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O9">
        <v>100</v>
      </c>
      <c r="P9">
        <f t="shared" si="0"/>
        <v>7</v>
      </c>
      <c r="Q9">
        <f t="shared" si="1"/>
        <v>0</v>
      </c>
    </row>
    <row r="10" spans="1:17" x14ac:dyDescent="0.3">
      <c r="B10" t="s">
        <v>7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O10">
        <v>100</v>
      </c>
      <c r="P10">
        <f t="shared" si="0"/>
        <v>7</v>
      </c>
      <c r="Q10">
        <f t="shared" si="1"/>
        <v>0</v>
      </c>
    </row>
    <row r="11" spans="1:17" x14ac:dyDescent="0.3">
      <c r="B11" t="s">
        <v>8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66.67</v>
      </c>
      <c r="I11">
        <v>100</v>
      </c>
      <c r="J11">
        <v>100</v>
      </c>
      <c r="O11">
        <v>94.74</v>
      </c>
      <c r="P11">
        <f t="shared" si="0"/>
        <v>6</v>
      </c>
      <c r="Q11">
        <f t="shared" si="1"/>
        <v>1</v>
      </c>
    </row>
    <row r="12" spans="1:17" x14ac:dyDescent="0.3">
      <c r="B12" t="s">
        <v>9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O12">
        <v>100</v>
      </c>
      <c r="P12">
        <f t="shared" si="0"/>
        <v>7</v>
      </c>
      <c r="Q12">
        <f t="shared" si="1"/>
        <v>0</v>
      </c>
    </row>
    <row r="13" spans="1:17" x14ac:dyDescent="0.3">
      <c r="B13" t="s">
        <v>10</v>
      </c>
      <c r="C13">
        <v>95.45</v>
      </c>
      <c r="D13">
        <v>100</v>
      </c>
      <c r="E13">
        <v>96.67</v>
      </c>
      <c r="F13">
        <v>100</v>
      </c>
      <c r="G13">
        <v>97.78</v>
      </c>
      <c r="H13">
        <v>100</v>
      </c>
      <c r="I13">
        <v>100</v>
      </c>
      <c r="J13">
        <v>100</v>
      </c>
      <c r="O13">
        <v>98.57</v>
      </c>
      <c r="P13">
        <f t="shared" si="0"/>
        <v>7</v>
      </c>
      <c r="Q13">
        <f t="shared" si="1"/>
        <v>0</v>
      </c>
    </row>
    <row r="14" spans="1:17" x14ac:dyDescent="0.3">
      <c r="B14" t="s">
        <v>11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O14">
        <v>100</v>
      </c>
      <c r="P14">
        <f t="shared" si="0"/>
        <v>7</v>
      </c>
      <c r="Q14">
        <f t="shared" si="1"/>
        <v>0</v>
      </c>
    </row>
    <row r="15" spans="1:17" x14ac:dyDescent="0.3">
      <c r="B15" t="s">
        <v>12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O15">
        <v>100</v>
      </c>
      <c r="P15">
        <f t="shared" si="0"/>
        <v>7</v>
      </c>
      <c r="Q15">
        <f t="shared" si="1"/>
        <v>0</v>
      </c>
    </row>
    <row r="16" spans="1:17" x14ac:dyDescent="0.3">
      <c r="B16" t="s">
        <v>13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66.67</v>
      </c>
      <c r="J16">
        <v>100</v>
      </c>
      <c r="O16">
        <v>94.12</v>
      </c>
      <c r="P16">
        <f t="shared" si="0"/>
        <v>6</v>
      </c>
      <c r="Q16">
        <f t="shared" si="1"/>
        <v>1</v>
      </c>
    </row>
    <row r="17" spans="2:17" x14ac:dyDescent="0.3">
      <c r="B17" t="s">
        <v>14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O17">
        <v>100</v>
      </c>
      <c r="P17">
        <f t="shared" si="0"/>
        <v>7</v>
      </c>
      <c r="Q17">
        <f t="shared" si="1"/>
        <v>0</v>
      </c>
    </row>
    <row r="18" spans="2:17" x14ac:dyDescent="0.3">
      <c r="B18" t="s">
        <v>15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O18">
        <v>100</v>
      </c>
      <c r="P18">
        <f t="shared" si="0"/>
        <v>7</v>
      </c>
      <c r="Q18">
        <f t="shared" si="1"/>
        <v>0</v>
      </c>
    </row>
    <row r="19" spans="2:17" x14ac:dyDescent="0.3">
      <c r="B19" t="s">
        <v>16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O19">
        <v>100</v>
      </c>
      <c r="P19">
        <f t="shared" si="0"/>
        <v>7</v>
      </c>
      <c r="Q19">
        <f t="shared" si="1"/>
        <v>0</v>
      </c>
    </row>
    <row r="20" spans="2:17" x14ac:dyDescent="0.3">
      <c r="B20" t="s">
        <v>17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O20">
        <v>100</v>
      </c>
      <c r="P20">
        <f t="shared" si="0"/>
        <v>7</v>
      </c>
      <c r="Q20">
        <f t="shared" si="1"/>
        <v>0</v>
      </c>
    </row>
    <row r="21" spans="2:17" x14ac:dyDescent="0.3">
      <c r="B21" t="s">
        <v>18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O21">
        <v>100</v>
      </c>
      <c r="P21">
        <f t="shared" si="0"/>
        <v>7</v>
      </c>
      <c r="Q21">
        <f t="shared" si="1"/>
        <v>0</v>
      </c>
    </row>
    <row r="22" spans="2:17" x14ac:dyDescent="0.3">
      <c r="B22" t="s">
        <v>19</v>
      </c>
      <c r="C22">
        <v>100</v>
      </c>
      <c r="D22">
        <v>100</v>
      </c>
      <c r="E22">
        <v>100</v>
      </c>
      <c r="F22">
        <v>90.91</v>
      </c>
      <c r="G22">
        <v>100</v>
      </c>
      <c r="H22">
        <v>100</v>
      </c>
      <c r="I22">
        <v>100</v>
      </c>
      <c r="J22">
        <v>100</v>
      </c>
      <c r="O22">
        <v>97.44</v>
      </c>
      <c r="P22">
        <f t="shared" si="0"/>
        <v>6</v>
      </c>
      <c r="Q22">
        <f t="shared" si="1"/>
        <v>1</v>
      </c>
    </row>
    <row r="23" spans="2:17" x14ac:dyDescent="0.3">
      <c r="B23" t="s">
        <v>20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O23">
        <v>100</v>
      </c>
      <c r="P23">
        <f t="shared" si="0"/>
        <v>7</v>
      </c>
      <c r="Q23">
        <f t="shared" si="1"/>
        <v>0</v>
      </c>
    </row>
    <row r="24" spans="2:17" x14ac:dyDescent="0.3">
      <c r="B24" t="s">
        <v>21</v>
      </c>
      <c r="C24">
        <v>100</v>
      </c>
      <c r="D24">
        <v>100</v>
      </c>
      <c r="E24">
        <v>90.32</v>
      </c>
      <c r="F24">
        <v>85.37</v>
      </c>
      <c r="G24">
        <v>94.87</v>
      </c>
      <c r="H24">
        <v>94.12</v>
      </c>
      <c r="I24">
        <v>100</v>
      </c>
      <c r="J24">
        <v>100</v>
      </c>
      <c r="O24">
        <v>94.35</v>
      </c>
      <c r="P24">
        <f t="shared" si="0"/>
        <v>3</v>
      </c>
      <c r="Q24">
        <f t="shared" si="1"/>
        <v>4</v>
      </c>
    </row>
    <row r="25" spans="2:17" x14ac:dyDescent="0.3">
      <c r="B25" t="s">
        <v>22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O25">
        <v>100</v>
      </c>
      <c r="P25">
        <f t="shared" si="0"/>
        <v>7</v>
      </c>
      <c r="Q25">
        <f t="shared" si="1"/>
        <v>0</v>
      </c>
    </row>
    <row r="26" spans="2:17" x14ac:dyDescent="0.3">
      <c r="B26" t="s">
        <v>23</v>
      </c>
      <c r="C26">
        <v>100</v>
      </c>
      <c r="D26">
        <v>100</v>
      </c>
      <c r="E26">
        <v>100</v>
      </c>
      <c r="F26">
        <v>100</v>
      </c>
      <c r="G26">
        <v>94.44</v>
      </c>
      <c r="H26">
        <v>100</v>
      </c>
      <c r="I26">
        <v>80</v>
      </c>
      <c r="J26">
        <v>100</v>
      </c>
      <c r="O26">
        <v>96.33</v>
      </c>
      <c r="P26">
        <f t="shared" si="0"/>
        <v>5</v>
      </c>
      <c r="Q26">
        <f t="shared" si="1"/>
        <v>2</v>
      </c>
    </row>
    <row r="27" spans="2:17" x14ac:dyDescent="0.3">
      <c r="B27" t="s">
        <v>24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O27">
        <v>100</v>
      </c>
      <c r="P27">
        <f t="shared" si="0"/>
        <v>7</v>
      </c>
      <c r="Q27">
        <f t="shared" si="1"/>
        <v>0</v>
      </c>
    </row>
    <row r="28" spans="2:17" x14ac:dyDescent="0.3">
      <c r="B28" t="s">
        <v>25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O28">
        <v>100</v>
      </c>
      <c r="P28">
        <f t="shared" si="0"/>
        <v>7</v>
      </c>
      <c r="Q28">
        <f t="shared" si="1"/>
        <v>0</v>
      </c>
    </row>
    <row r="29" spans="2:17" x14ac:dyDescent="0.3">
      <c r="B29" t="s">
        <v>26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O29">
        <v>100</v>
      </c>
      <c r="P29">
        <f t="shared" si="0"/>
        <v>7</v>
      </c>
      <c r="Q29">
        <f t="shared" si="1"/>
        <v>0</v>
      </c>
    </row>
    <row r="30" spans="2:17" x14ac:dyDescent="0.3">
      <c r="B30" t="s">
        <v>27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O30">
        <v>100</v>
      </c>
      <c r="P30">
        <f t="shared" si="0"/>
        <v>7</v>
      </c>
      <c r="Q30">
        <f t="shared" si="1"/>
        <v>0</v>
      </c>
    </row>
    <row r="31" spans="2:17" x14ac:dyDescent="0.3">
      <c r="B31" t="s">
        <v>28</v>
      </c>
      <c r="C31">
        <v>100</v>
      </c>
      <c r="D31">
        <v>100</v>
      </c>
      <c r="E31">
        <v>100</v>
      </c>
      <c r="F31">
        <v>100</v>
      </c>
      <c r="G31">
        <v>44.44</v>
      </c>
      <c r="H31">
        <v>100</v>
      </c>
      <c r="I31">
        <v>100</v>
      </c>
      <c r="J31">
        <v>100</v>
      </c>
      <c r="O31">
        <v>88.1</v>
      </c>
      <c r="P31">
        <f t="shared" si="0"/>
        <v>6</v>
      </c>
      <c r="Q31">
        <f t="shared" si="1"/>
        <v>1</v>
      </c>
    </row>
    <row r="32" spans="2:17" x14ac:dyDescent="0.3">
      <c r="B32" t="s">
        <v>29</v>
      </c>
      <c r="C32">
        <v>100</v>
      </c>
      <c r="D32">
        <v>100</v>
      </c>
      <c r="E32">
        <v>95</v>
      </c>
      <c r="F32">
        <v>93.33</v>
      </c>
      <c r="G32">
        <v>100</v>
      </c>
      <c r="H32">
        <v>95.24</v>
      </c>
      <c r="I32">
        <v>100</v>
      </c>
      <c r="J32">
        <v>100</v>
      </c>
      <c r="O32">
        <v>97.73</v>
      </c>
      <c r="P32">
        <f t="shared" si="0"/>
        <v>6</v>
      </c>
      <c r="Q32">
        <f t="shared" si="1"/>
        <v>1</v>
      </c>
    </row>
    <row r="33" spans="2:17" x14ac:dyDescent="0.3">
      <c r="B33" t="s">
        <v>30</v>
      </c>
      <c r="C33">
        <v>100</v>
      </c>
      <c r="D33">
        <v>100</v>
      </c>
      <c r="E33">
        <v>100</v>
      </c>
      <c r="F33">
        <v>100</v>
      </c>
      <c r="G33">
        <v>84.62</v>
      </c>
      <c r="H33">
        <v>92</v>
      </c>
      <c r="I33">
        <v>100</v>
      </c>
      <c r="J33">
        <v>100</v>
      </c>
      <c r="O33">
        <v>96.58</v>
      </c>
      <c r="P33">
        <f t="shared" si="0"/>
        <v>5</v>
      </c>
      <c r="Q33">
        <f t="shared" si="1"/>
        <v>2</v>
      </c>
    </row>
    <row r="34" spans="2:17" x14ac:dyDescent="0.3">
      <c r="B34" t="s">
        <v>31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O34">
        <v>100</v>
      </c>
      <c r="P34">
        <f t="shared" si="0"/>
        <v>7</v>
      </c>
      <c r="Q34">
        <f t="shared" si="1"/>
        <v>0</v>
      </c>
    </row>
    <row r="35" spans="2:17" x14ac:dyDescent="0.3">
      <c r="B35" t="s">
        <v>32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O35">
        <v>100</v>
      </c>
      <c r="P35">
        <f t="shared" si="0"/>
        <v>7</v>
      </c>
      <c r="Q35">
        <f t="shared" si="1"/>
        <v>0</v>
      </c>
    </row>
    <row r="36" spans="2:17" x14ac:dyDescent="0.3">
      <c r="B36" t="s">
        <v>33</v>
      </c>
      <c r="C36" t="s">
        <v>34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O36">
        <v>100</v>
      </c>
      <c r="P36">
        <f t="shared" si="0"/>
        <v>6</v>
      </c>
      <c r="Q36">
        <f t="shared" si="1"/>
        <v>0</v>
      </c>
    </row>
    <row r="37" spans="2:17" x14ac:dyDescent="0.3">
      <c r="B37" t="s">
        <v>35</v>
      </c>
      <c r="C37">
        <v>100</v>
      </c>
      <c r="D37">
        <v>100</v>
      </c>
      <c r="E37">
        <v>97.56</v>
      </c>
      <c r="F37">
        <v>91.11</v>
      </c>
      <c r="G37">
        <v>85.96</v>
      </c>
      <c r="H37">
        <v>97.78</v>
      </c>
      <c r="I37">
        <v>95.12</v>
      </c>
      <c r="J37">
        <v>100</v>
      </c>
      <c r="O37">
        <v>94.82</v>
      </c>
      <c r="P37">
        <f t="shared" si="0"/>
        <v>5</v>
      </c>
      <c r="Q37">
        <f t="shared" si="1"/>
        <v>2</v>
      </c>
    </row>
    <row r="38" spans="2:17" x14ac:dyDescent="0.3">
      <c r="B38" t="s">
        <v>36</v>
      </c>
      <c r="C38">
        <v>100</v>
      </c>
      <c r="D38">
        <v>100</v>
      </c>
      <c r="E38">
        <v>100</v>
      </c>
      <c r="F38">
        <v>100</v>
      </c>
      <c r="G38">
        <v>90</v>
      </c>
      <c r="H38">
        <v>100</v>
      </c>
      <c r="I38">
        <v>100</v>
      </c>
      <c r="J38">
        <v>100</v>
      </c>
      <c r="O38">
        <v>97.83</v>
      </c>
      <c r="P38">
        <f t="shared" si="0"/>
        <v>6</v>
      </c>
      <c r="Q38">
        <f t="shared" si="1"/>
        <v>1</v>
      </c>
    </row>
    <row r="39" spans="2:17" x14ac:dyDescent="0.3">
      <c r="B39" t="s">
        <v>37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O39">
        <v>100</v>
      </c>
      <c r="P39">
        <f t="shared" si="0"/>
        <v>7</v>
      </c>
      <c r="Q39">
        <f t="shared" si="1"/>
        <v>0</v>
      </c>
    </row>
    <row r="40" spans="2:17" x14ac:dyDescent="0.3">
      <c r="B40" t="s">
        <v>38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O40">
        <v>100</v>
      </c>
      <c r="P40">
        <f t="shared" si="0"/>
        <v>7</v>
      </c>
      <c r="Q40">
        <f t="shared" si="1"/>
        <v>0</v>
      </c>
    </row>
    <row r="41" spans="2:17" x14ac:dyDescent="0.3">
      <c r="B41" t="s">
        <v>39</v>
      </c>
      <c r="C41">
        <v>100</v>
      </c>
      <c r="D41">
        <v>100</v>
      </c>
      <c r="E41">
        <v>66.67</v>
      </c>
      <c r="F41">
        <v>100</v>
      </c>
      <c r="G41">
        <v>100</v>
      </c>
      <c r="H41">
        <v>75</v>
      </c>
      <c r="I41">
        <v>100</v>
      </c>
      <c r="J41">
        <v>100</v>
      </c>
      <c r="O41">
        <v>92.5</v>
      </c>
      <c r="P41">
        <f t="shared" si="0"/>
        <v>5</v>
      </c>
      <c r="Q41">
        <f t="shared" si="1"/>
        <v>2</v>
      </c>
    </row>
    <row r="42" spans="2:17" x14ac:dyDescent="0.3">
      <c r="B42" t="s">
        <v>40</v>
      </c>
      <c r="C42">
        <v>100</v>
      </c>
      <c r="D42">
        <v>100</v>
      </c>
      <c r="E42">
        <v>100</v>
      </c>
      <c r="F42">
        <v>100</v>
      </c>
      <c r="G42">
        <v>96.43</v>
      </c>
      <c r="H42">
        <v>93.75</v>
      </c>
      <c r="I42">
        <v>100</v>
      </c>
      <c r="J42">
        <v>100</v>
      </c>
      <c r="O42">
        <v>98.11</v>
      </c>
      <c r="P42">
        <f t="shared" si="0"/>
        <v>6</v>
      </c>
      <c r="Q42">
        <f t="shared" si="1"/>
        <v>1</v>
      </c>
    </row>
    <row r="43" spans="2:17" x14ac:dyDescent="0.3">
      <c r="B43" t="s">
        <v>41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O43">
        <v>100</v>
      </c>
      <c r="P43">
        <f t="shared" si="0"/>
        <v>7</v>
      </c>
      <c r="Q43">
        <f t="shared" si="1"/>
        <v>0</v>
      </c>
    </row>
    <row r="44" spans="2:17" x14ac:dyDescent="0.3">
      <c r="B44" t="s">
        <v>42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O44">
        <v>100</v>
      </c>
      <c r="P44">
        <f t="shared" si="0"/>
        <v>7</v>
      </c>
      <c r="Q44">
        <f t="shared" si="1"/>
        <v>0</v>
      </c>
    </row>
    <row r="45" spans="2:17" x14ac:dyDescent="0.3">
      <c r="B45" t="s">
        <v>43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O45">
        <v>100</v>
      </c>
      <c r="P45">
        <f t="shared" si="0"/>
        <v>7</v>
      </c>
      <c r="Q45">
        <f t="shared" si="1"/>
        <v>0</v>
      </c>
    </row>
    <row r="46" spans="2:17" x14ac:dyDescent="0.3">
      <c r="B46" t="s">
        <v>44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O46">
        <v>100</v>
      </c>
      <c r="P46">
        <f t="shared" si="0"/>
        <v>7</v>
      </c>
      <c r="Q46">
        <f t="shared" si="1"/>
        <v>0</v>
      </c>
    </row>
    <row r="47" spans="2:17" x14ac:dyDescent="0.3">
      <c r="B47" t="s">
        <v>45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O47">
        <v>100</v>
      </c>
      <c r="P47">
        <f t="shared" si="0"/>
        <v>7</v>
      </c>
      <c r="Q47">
        <f t="shared" si="1"/>
        <v>0</v>
      </c>
    </row>
    <row r="48" spans="2:17" x14ac:dyDescent="0.3">
      <c r="B48" t="s">
        <v>46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97.83</v>
      </c>
      <c r="I48">
        <v>97.14</v>
      </c>
      <c r="J48">
        <v>100</v>
      </c>
      <c r="O48">
        <v>98.9</v>
      </c>
      <c r="P48">
        <f t="shared" si="0"/>
        <v>7</v>
      </c>
      <c r="Q48">
        <f t="shared" si="1"/>
        <v>0</v>
      </c>
    </row>
    <row r="49" spans="2:17" x14ac:dyDescent="0.3">
      <c r="B49" t="s">
        <v>47</v>
      </c>
      <c r="C49">
        <v>90.91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O49">
        <v>98.36</v>
      </c>
      <c r="P49">
        <f t="shared" si="0"/>
        <v>6</v>
      </c>
      <c r="Q49">
        <f t="shared" si="1"/>
        <v>1</v>
      </c>
    </row>
    <row r="50" spans="2:17" x14ac:dyDescent="0.3">
      <c r="B50" t="s">
        <v>48</v>
      </c>
      <c r="C50">
        <v>100</v>
      </c>
      <c r="D50">
        <v>100</v>
      </c>
      <c r="E50">
        <v>100</v>
      </c>
      <c r="F50">
        <v>100</v>
      </c>
      <c r="G50">
        <v>0</v>
      </c>
      <c r="H50">
        <v>100</v>
      </c>
      <c r="I50">
        <v>100</v>
      </c>
      <c r="J50">
        <v>100</v>
      </c>
      <c r="O50">
        <v>75</v>
      </c>
      <c r="P50">
        <f t="shared" si="0"/>
        <v>6</v>
      </c>
      <c r="Q50">
        <f t="shared" si="1"/>
        <v>1</v>
      </c>
    </row>
    <row r="51" spans="2:17" x14ac:dyDescent="0.3">
      <c r="B51" t="s">
        <v>49</v>
      </c>
      <c r="C51">
        <v>100</v>
      </c>
      <c r="D51">
        <v>93.55</v>
      </c>
      <c r="E51">
        <v>100</v>
      </c>
      <c r="F51">
        <v>97.3</v>
      </c>
      <c r="G51">
        <v>96.92</v>
      </c>
      <c r="H51">
        <v>100</v>
      </c>
      <c r="I51">
        <v>94.23</v>
      </c>
      <c r="J51">
        <v>100</v>
      </c>
      <c r="O51">
        <v>97.53</v>
      </c>
      <c r="P51">
        <f t="shared" si="0"/>
        <v>5</v>
      </c>
      <c r="Q51">
        <f t="shared" si="1"/>
        <v>2</v>
      </c>
    </row>
    <row r="52" spans="2:17" x14ac:dyDescent="0.3">
      <c r="B52" t="s">
        <v>50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O52">
        <v>100</v>
      </c>
      <c r="P52">
        <f t="shared" si="0"/>
        <v>7</v>
      </c>
      <c r="Q52">
        <f t="shared" si="1"/>
        <v>0</v>
      </c>
    </row>
    <row r="53" spans="2:17" x14ac:dyDescent="0.3">
      <c r="B53" t="s">
        <v>51</v>
      </c>
      <c r="C53">
        <v>83.33</v>
      </c>
      <c r="D53">
        <v>100</v>
      </c>
      <c r="E53">
        <v>100</v>
      </c>
      <c r="F53">
        <v>100</v>
      </c>
      <c r="G53">
        <v>100</v>
      </c>
      <c r="H53">
        <v>87.5</v>
      </c>
      <c r="I53">
        <v>100</v>
      </c>
      <c r="J53">
        <v>100</v>
      </c>
      <c r="O53">
        <v>96.43</v>
      </c>
      <c r="P53">
        <f t="shared" si="0"/>
        <v>5</v>
      </c>
      <c r="Q53">
        <f t="shared" si="1"/>
        <v>2</v>
      </c>
    </row>
    <row r="54" spans="2:17" x14ac:dyDescent="0.3">
      <c r="B54" t="s">
        <v>52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O54">
        <v>100</v>
      </c>
      <c r="P54">
        <f t="shared" si="0"/>
        <v>7</v>
      </c>
      <c r="Q54">
        <f t="shared" si="1"/>
        <v>0</v>
      </c>
    </row>
    <row r="55" spans="2:17" x14ac:dyDescent="0.3">
      <c r="B55" t="s">
        <v>53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O55">
        <v>100</v>
      </c>
      <c r="P55">
        <f t="shared" si="0"/>
        <v>7</v>
      </c>
      <c r="Q55">
        <f t="shared" si="1"/>
        <v>0</v>
      </c>
    </row>
    <row r="56" spans="2:17" x14ac:dyDescent="0.3">
      <c r="B56" t="s">
        <v>54</v>
      </c>
      <c r="C56">
        <v>100</v>
      </c>
      <c r="D56">
        <v>100</v>
      </c>
      <c r="E56">
        <v>100</v>
      </c>
      <c r="F56">
        <v>66.67</v>
      </c>
      <c r="G56">
        <v>100</v>
      </c>
      <c r="H56">
        <v>100</v>
      </c>
      <c r="I56">
        <v>100</v>
      </c>
      <c r="J56">
        <v>100</v>
      </c>
      <c r="O56">
        <v>95.83</v>
      </c>
      <c r="P56">
        <f t="shared" si="0"/>
        <v>6</v>
      </c>
      <c r="Q56">
        <f t="shared" si="1"/>
        <v>1</v>
      </c>
    </row>
    <row r="57" spans="2:17" x14ac:dyDescent="0.3">
      <c r="B57" t="s">
        <v>55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O57">
        <v>100</v>
      </c>
      <c r="P57">
        <f t="shared" si="0"/>
        <v>7</v>
      </c>
      <c r="Q57">
        <f t="shared" si="1"/>
        <v>0</v>
      </c>
    </row>
    <row r="58" spans="2:17" x14ac:dyDescent="0.3">
      <c r="B58" t="s">
        <v>56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O58">
        <v>100</v>
      </c>
      <c r="P58">
        <f t="shared" si="0"/>
        <v>7</v>
      </c>
      <c r="Q58">
        <f t="shared" si="1"/>
        <v>0</v>
      </c>
    </row>
    <row r="59" spans="2:17" x14ac:dyDescent="0.3">
      <c r="B59" t="s">
        <v>57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O59">
        <v>100</v>
      </c>
      <c r="P59">
        <f t="shared" si="0"/>
        <v>7</v>
      </c>
      <c r="Q59">
        <f t="shared" si="1"/>
        <v>0</v>
      </c>
    </row>
    <row r="60" spans="2:17" x14ac:dyDescent="0.3">
      <c r="B60" t="s">
        <v>58</v>
      </c>
      <c r="C60">
        <v>90</v>
      </c>
      <c r="D60">
        <v>87.5</v>
      </c>
      <c r="E60">
        <v>100</v>
      </c>
      <c r="F60">
        <v>100</v>
      </c>
      <c r="G60">
        <v>88.89</v>
      </c>
      <c r="H60">
        <v>90.48</v>
      </c>
      <c r="I60">
        <v>100</v>
      </c>
      <c r="J60">
        <v>100</v>
      </c>
      <c r="O60">
        <v>92.77</v>
      </c>
      <c r="P60">
        <f t="shared" si="0"/>
        <v>3</v>
      </c>
      <c r="Q60">
        <f t="shared" si="1"/>
        <v>4</v>
      </c>
    </row>
    <row r="61" spans="2:17" x14ac:dyDescent="0.3">
      <c r="B61" t="s">
        <v>59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O61">
        <v>100</v>
      </c>
      <c r="P61">
        <f t="shared" si="0"/>
        <v>7</v>
      </c>
      <c r="Q61">
        <f t="shared" si="1"/>
        <v>0</v>
      </c>
    </row>
    <row r="62" spans="2:17" x14ac:dyDescent="0.3">
      <c r="B62" t="s">
        <v>60</v>
      </c>
      <c r="C62">
        <v>100</v>
      </c>
      <c r="D62">
        <v>100</v>
      </c>
      <c r="E62">
        <v>100</v>
      </c>
      <c r="F62">
        <v>100</v>
      </c>
      <c r="G62">
        <v>83.33</v>
      </c>
      <c r="H62">
        <v>85.71</v>
      </c>
      <c r="I62">
        <v>100</v>
      </c>
      <c r="J62">
        <v>100</v>
      </c>
      <c r="O62">
        <v>95.65</v>
      </c>
      <c r="P62">
        <f t="shared" si="0"/>
        <v>5</v>
      </c>
      <c r="Q62">
        <f t="shared" si="1"/>
        <v>2</v>
      </c>
    </row>
    <row r="63" spans="2:17" x14ac:dyDescent="0.3">
      <c r="B63" t="s">
        <v>61</v>
      </c>
      <c r="C63">
        <v>91.49</v>
      </c>
      <c r="D63">
        <v>100</v>
      </c>
      <c r="E63">
        <v>98</v>
      </c>
      <c r="F63">
        <v>100</v>
      </c>
      <c r="G63">
        <v>97.06</v>
      </c>
      <c r="H63">
        <v>98.53</v>
      </c>
      <c r="I63">
        <v>98.04</v>
      </c>
      <c r="J63">
        <v>100</v>
      </c>
      <c r="O63">
        <v>97.55</v>
      </c>
      <c r="P63">
        <f t="shared" si="0"/>
        <v>6</v>
      </c>
      <c r="Q63">
        <f t="shared" si="1"/>
        <v>1</v>
      </c>
    </row>
    <row r="64" spans="2:17" x14ac:dyDescent="0.3">
      <c r="B64" t="s">
        <v>62</v>
      </c>
      <c r="C64">
        <v>98.8</v>
      </c>
      <c r="D64">
        <v>98.18</v>
      </c>
      <c r="E64">
        <v>98.51</v>
      </c>
      <c r="F64">
        <v>97.56</v>
      </c>
      <c r="G64">
        <v>100</v>
      </c>
      <c r="H64">
        <v>100</v>
      </c>
      <c r="I64">
        <v>96.83</v>
      </c>
      <c r="J64">
        <v>100</v>
      </c>
      <c r="O64">
        <v>98.46</v>
      </c>
      <c r="P64">
        <f t="shared" si="0"/>
        <v>7</v>
      </c>
      <c r="Q64">
        <f t="shared" si="1"/>
        <v>0</v>
      </c>
    </row>
    <row r="65" spans="2:17" x14ac:dyDescent="0.3">
      <c r="B65" t="s">
        <v>63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O65">
        <v>100</v>
      </c>
      <c r="P65">
        <f t="shared" si="0"/>
        <v>7</v>
      </c>
      <c r="Q65">
        <f t="shared" si="1"/>
        <v>0</v>
      </c>
    </row>
    <row r="66" spans="2:17" x14ac:dyDescent="0.3">
      <c r="B66" t="s">
        <v>64</v>
      </c>
      <c r="C66">
        <v>100</v>
      </c>
      <c r="D66">
        <v>87.5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O66">
        <v>97.22</v>
      </c>
      <c r="P66">
        <f t="shared" si="0"/>
        <v>6</v>
      </c>
      <c r="Q66">
        <f t="shared" si="1"/>
        <v>1</v>
      </c>
    </row>
    <row r="67" spans="2:17" x14ac:dyDescent="0.3">
      <c r="B67" t="s">
        <v>65</v>
      </c>
      <c r="C67">
        <v>100</v>
      </c>
      <c r="D67">
        <v>100</v>
      </c>
      <c r="E67">
        <v>100</v>
      </c>
      <c r="F67">
        <v>97.3</v>
      </c>
      <c r="G67">
        <v>81.819999999999993</v>
      </c>
      <c r="H67">
        <v>100</v>
      </c>
      <c r="I67">
        <v>30.56</v>
      </c>
      <c r="J67">
        <v>100</v>
      </c>
      <c r="O67">
        <v>69.819999999999993</v>
      </c>
      <c r="P67">
        <f t="shared" si="0"/>
        <v>5</v>
      </c>
      <c r="Q67">
        <f t="shared" si="1"/>
        <v>2</v>
      </c>
    </row>
    <row r="68" spans="2:17" x14ac:dyDescent="0.3">
      <c r="B68" t="s">
        <v>66</v>
      </c>
      <c r="C68">
        <v>100</v>
      </c>
      <c r="D68">
        <v>85.71</v>
      </c>
      <c r="E68">
        <v>100</v>
      </c>
      <c r="F68">
        <v>83.33</v>
      </c>
      <c r="G68">
        <v>100</v>
      </c>
      <c r="H68">
        <v>100</v>
      </c>
      <c r="I68">
        <v>80</v>
      </c>
      <c r="J68">
        <v>100</v>
      </c>
      <c r="O68">
        <v>90.7</v>
      </c>
      <c r="P68">
        <f t="shared" ref="P68:P86" si="2">COUNTIF(C68:I68,"&gt;=95")</f>
        <v>4</v>
      </c>
      <c r="Q68">
        <f t="shared" ref="Q68:Q86" si="3">COUNTIF(C68:I68,"&lt;95")</f>
        <v>3</v>
      </c>
    </row>
    <row r="69" spans="2:17" x14ac:dyDescent="0.3">
      <c r="B69" t="s">
        <v>67</v>
      </c>
      <c r="C69">
        <v>100</v>
      </c>
      <c r="D69">
        <v>100</v>
      </c>
      <c r="E69">
        <v>100</v>
      </c>
      <c r="F69">
        <v>81.819999999999993</v>
      </c>
      <c r="G69">
        <v>100</v>
      </c>
      <c r="H69">
        <v>100</v>
      </c>
      <c r="I69">
        <v>100</v>
      </c>
      <c r="J69">
        <v>100</v>
      </c>
      <c r="O69">
        <v>94.44</v>
      </c>
      <c r="P69">
        <f t="shared" si="2"/>
        <v>6</v>
      </c>
      <c r="Q69">
        <f t="shared" si="3"/>
        <v>1</v>
      </c>
    </row>
    <row r="70" spans="2:17" x14ac:dyDescent="0.3">
      <c r="B70" t="s">
        <v>68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O70">
        <v>100</v>
      </c>
      <c r="P70">
        <f t="shared" si="2"/>
        <v>7</v>
      </c>
      <c r="Q70">
        <f t="shared" si="3"/>
        <v>0</v>
      </c>
    </row>
    <row r="71" spans="2:17" x14ac:dyDescent="0.3">
      <c r="B71" t="s">
        <v>69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O71">
        <v>100</v>
      </c>
      <c r="P71">
        <f t="shared" si="2"/>
        <v>7</v>
      </c>
      <c r="Q71">
        <f t="shared" si="3"/>
        <v>0</v>
      </c>
    </row>
    <row r="72" spans="2:17" x14ac:dyDescent="0.3">
      <c r="B72" t="s">
        <v>70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O72">
        <v>100</v>
      </c>
      <c r="P72">
        <f t="shared" si="2"/>
        <v>7</v>
      </c>
      <c r="Q72">
        <f t="shared" si="3"/>
        <v>0</v>
      </c>
    </row>
    <row r="73" spans="2:17" x14ac:dyDescent="0.3">
      <c r="B73" t="s">
        <v>71</v>
      </c>
      <c r="C73">
        <v>90</v>
      </c>
      <c r="D73">
        <v>100</v>
      </c>
      <c r="E73">
        <v>88.89</v>
      </c>
      <c r="F73">
        <v>94.74</v>
      </c>
      <c r="G73">
        <v>94.44</v>
      </c>
      <c r="H73">
        <v>94.44</v>
      </c>
      <c r="I73">
        <v>91.67</v>
      </c>
      <c r="J73">
        <v>100</v>
      </c>
      <c r="O73">
        <v>93.58</v>
      </c>
      <c r="P73">
        <f t="shared" si="2"/>
        <v>1</v>
      </c>
      <c r="Q73">
        <f t="shared" si="3"/>
        <v>6</v>
      </c>
    </row>
    <row r="74" spans="2:17" x14ac:dyDescent="0.3">
      <c r="B74" t="s">
        <v>72</v>
      </c>
      <c r="C74">
        <v>100</v>
      </c>
      <c r="D74">
        <v>100</v>
      </c>
      <c r="E74">
        <v>83.33</v>
      </c>
      <c r="F74">
        <v>100</v>
      </c>
      <c r="G74">
        <v>100</v>
      </c>
      <c r="H74">
        <v>100</v>
      </c>
      <c r="I74">
        <v>100</v>
      </c>
      <c r="J74">
        <v>100</v>
      </c>
      <c r="O74">
        <v>98.17</v>
      </c>
      <c r="P74">
        <f t="shared" si="2"/>
        <v>6</v>
      </c>
      <c r="Q74">
        <f t="shared" si="3"/>
        <v>1</v>
      </c>
    </row>
    <row r="75" spans="2:17" x14ac:dyDescent="0.3">
      <c r="B75" t="s">
        <v>73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O75">
        <v>100</v>
      </c>
      <c r="P75">
        <f t="shared" si="2"/>
        <v>7</v>
      </c>
      <c r="Q75">
        <f t="shared" si="3"/>
        <v>0</v>
      </c>
    </row>
    <row r="76" spans="2:17" x14ac:dyDescent="0.3">
      <c r="B76" t="s">
        <v>74</v>
      </c>
      <c r="C76">
        <v>100</v>
      </c>
      <c r="D76">
        <v>100</v>
      </c>
      <c r="E76">
        <v>100</v>
      </c>
      <c r="F76">
        <v>96.3</v>
      </c>
      <c r="G76">
        <v>100</v>
      </c>
      <c r="H76">
        <v>100</v>
      </c>
      <c r="I76">
        <v>100</v>
      </c>
      <c r="J76">
        <v>100</v>
      </c>
      <c r="O76">
        <v>99.16</v>
      </c>
      <c r="P76">
        <f t="shared" si="2"/>
        <v>7</v>
      </c>
      <c r="Q76">
        <f t="shared" si="3"/>
        <v>0</v>
      </c>
    </row>
    <row r="77" spans="2:17" x14ac:dyDescent="0.3">
      <c r="B77" t="s">
        <v>75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O77">
        <v>100</v>
      </c>
      <c r="P77">
        <f t="shared" si="2"/>
        <v>7</v>
      </c>
      <c r="Q77">
        <f t="shared" si="3"/>
        <v>0</v>
      </c>
    </row>
    <row r="78" spans="2:17" x14ac:dyDescent="0.3">
      <c r="B78" t="s">
        <v>76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O78">
        <v>100</v>
      </c>
      <c r="P78">
        <f t="shared" si="2"/>
        <v>7</v>
      </c>
      <c r="Q78">
        <f t="shared" si="3"/>
        <v>0</v>
      </c>
    </row>
    <row r="79" spans="2:17" x14ac:dyDescent="0.3">
      <c r="B79" t="s">
        <v>77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O79">
        <v>100</v>
      </c>
      <c r="P79">
        <f t="shared" si="2"/>
        <v>7</v>
      </c>
      <c r="Q79">
        <f t="shared" si="3"/>
        <v>0</v>
      </c>
    </row>
    <row r="80" spans="2:17" x14ac:dyDescent="0.3">
      <c r="B80" t="s">
        <v>78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O80">
        <v>100</v>
      </c>
      <c r="P80">
        <f t="shared" si="2"/>
        <v>7</v>
      </c>
      <c r="Q80">
        <f t="shared" si="3"/>
        <v>0</v>
      </c>
    </row>
    <row r="81" spans="2:17" x14ac:dyDescent="0.3">
      <c r="B81" t="s">
        <v>79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O81">
        <v>100</v>
      </c>
      <c r="P81">
        <f t="shared" si="2"/>
        <v>7</v>
      </c>
      <c r="Q81">
        <f t="shared" si="3"/>
        <v>0</v>
      </c>
    </row>
    <row r="82" spans="2:17" x14ac:dyDescent="0.3">
      <c r="B82" t="s">
        <v>80</v>
      </c>
      <c r="C82">
        <v>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O82">
        <v>95</v>
      </c>
      <c r="P82">
        <f t="shared" si="2"/>
        <v>6</v>
      </c>
      <c r="Q82">
        <f t="shared" si="3"/>
        <v>1</v>
      </c>
    </row>
    <row r="83" spans="2:17" x14ac:dyDescent="0.3">
      <c r="B83" t="s">
        <v>81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0</v>
      </c>
      <c r="J83">
        <v>100</v>
      </c>
      <c r="O83">
        <v>75</v>
      </c>
      <c r="P83">
        <f t="shared" si="2"/>
        <v>6</v>
      </c>
      <c r="Q83">
        <f t="shared" si="3"/>
        <v>1</v>
      </c>
    </row>
    <row r="84" spans="2:17" x14ac:dyDescent="0.3">
      <c r="B84" t="s">
        <v>82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O84">
        <v>100</v>
      </c>
      <c r="P84">
        <f t="shared" si="2"/>
        <v>7</v>
      </c>
      <c r="Q84">
        <f t="shared" si="3"/>
        <v>0</v>
      </c>
    </row>
    <row r="85" spans="2:17" x14ac:dyDescent="0.3">
      <c r="B85" t="s">
        <v>83</v>
      </c>
      <c r="C85">
        <v>100</v>
      </c>
      <c r="D85">
        <v>100</v>
      </c>
      <c r="E85">
        <v>50</v>
      </c>
      <c r="F85">
        <v>100</v>
      </c>
      <c r="G85">
        <v>100</v>
      </c>
      <c r="H85">
        <v>100</v>
      </c>
      <c r="I85">
        <v>100</v>
      </c>
      <c r="J85">
        <v>100</v>
      </c>
      <c r="O85">
        <v>91.67</v>
      </c>
      <c r="P85">
        <f t="shared" si="2"/>
        <v>6</v>
      </c>
      <c r="Q85">
        <f t="shared" si="3"/>
        <v>1</v>
      </c>
    </row>
    <row r="86" spans="2:17" x14ac:dyDescent="0.3">
      <c r="B86" t="s">
        <v>84</v>
      </c>
      <c r="C86">
        <v>97.44</v>
      </c>
      <c r="D86">
        <v>98.05</v>
      </c>
      <c r="E86">
        <v>96.7</v>
      </c>
      <c r="F86">
        <v>97.07</v>
      </c>
      <c r="G86">
        <v>94.78</v>
      </c>
      <c r="H86">
        <v>97.61</v>
      </c>
      <c r="I86">
        <v>90.01</v>
      </c>
      <c r="J86">
        <v>100</v>
      </c>
      <c r="O86">
        <v>95.72</v>
      </c>
      <c r="P86">
        <f t="shared" si="2"/>
        <v>5</v>
      </c>
      <c r="Q86">
        <f t="shared" si="3"/>
        <v>2</v>
      </c>
    </row>
    <row r="174" spans="15:15" x14ac:dyDescent="0.3">
      <c r="O174" s="1"/>
    </row>
    <row r="262" spans="9:15" x14ac:dyDescent="0.3">
      <c r="I262" s="1"/>
      <c r="O262" s="1"/>
    </row>
  </sheetData>
  <pageMargins left="0.7" right="0.7" top="0.75" bottom="0.75" header="0.3" footer="0.3"/>
  <pageSetup orientation="landscape" r:id="rId1"/>
  <ignoredErrors>
    <ignoredError sqref="P3:Q8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8DD7-D43C-484E-A589-BB7FF4680B21}">
  <sheetPr>
    <tabColor rgb="FF0070C0"/>
  </sheetPr>
  <dimension ref="A1:Q262"/>
  <sheetViews>
    <sheetView topLeftCell="A119" workbookViewId="0">
      <selection activeCell="R92" sqref="R92"/>
    </sheetView>
  </sheetViews>
  <sheetFormatPr defaultRowHeight="14.4" x14ac:dyDescent="0.3"/>
  <sheetData>
    <row r="1" spans="1:17" x14ac:dyDescent="0.3">
      <c r="A1" t="s">
        <v>103</v>
      </c>
    </row>
    <row r="2" spans="1:17" x14ac:dyDescent="0.3"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P2" t="s">
        <v>105</v>
      </c>
      <c r="Q2" t="s">
        <v>106</v>
      </c>
    </row>
    <row r="3" spans="1:17" x14ac:dyDescent="0.3">
      <c r="B3" t="s">
        <v>0</v>
      </c>
      <c r="C3">
        <v>100</v>
      </c>
      <c r="D3">
        <v>100</v>
      </c>
      <c r="E3">
        <v>99.38</v>
      </c>
      <c r="F3">
        <v>100</v>
      </c>
      <c r="G3">
        <v>100</v>
      </c>
      <c r="H3">
        <v>99.53</v>
      </c>
      <c r="I3">
        <v>100</v>
      </c>
      <c r="J3">
        <v>100</v>
      </c>
      <c r="O3">
        <v>99.85</v>
      </c>
      <c r="P3">
        <f>COUNTIF(C3:I3,"&gt;=99.04")</f>
        <v>7</v>
      </c>
      <c r="Q3">
        <f>COUNTIF(C3:I3,"&lt;99.04")</f>
        <v>0</v>
      </c>
    </row>
    <row r="4" spans="1:17" x14ac:dyDescent="0.3">
      <c r="B4" t="s">
        <v>1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99.8</v>
      </c>
      <c r="J4">
        <v>100</v>
      </c>
      <c r="O4">
        <v>99.96</v>
      </c>
      <c r="P4">
        <f t="shared" ref="P4:P67" si="0">COUNTIF(C4:I4,"&gt;=99.04")</f>
        <v>7</v>
      </c>
      <c r="Q4">
        <f t="shared" ref="Q4:Q67" si="1">COUNTIF(C4:I4,"&lt;99.04")</f>
        <v>0</v>
      </c>
    </row>
    <row r="5" spans="1:17" x14ac:dyDescent="0.3">
      <c r="B5" t="s">
        <v>2</v>
      </c>
      <c r="C5">
        <v>100</v>
      </c>
      <c r="D5">
        <v>100</v>
      </c>
      <c r="E5">
        <v>100</v>
      </c>
      <c r="F5">
        <v>100</v>
      </c>
      <c r="G5">
        <v>100</v>
      </c>
      <c r="H5">
        <v>99.76</v>
      </c>
      <c r="I5">
        <v>100</v>
      </c>
      <c r="J5">
        <v>100</v>
      </c>
      <c r="O5">
        <v>99.96</v>
      </c>
      <c r="P5">
        <f t="shared" si="0"/>
        <v>7</v>
      </c>
      <c r="Q5">
        <f t="shared" si="1"/>
        <v>0</v>
      </c>
    </row>
    <row r="6" spans="1:17" x14ac:dyDescent="0.3">
      <c r="B6" t="s">
        <v>3</v>
      </c>
      <c r="C6">
        <v>100</v>
      </c>
      <c r="D6">
        <v>100</v>
      </c>
      <c r="E6">
        <v>100</v>
      </c>
      <c r="F6">
        <v>100</v>
      </c>
      <c r="G6">
        <v>80</v>
      </c>
      <c r="H6">
        <v>100</v>
      </c>
      <c r="I6">
        <v>100</v>
      </c>
      <c r="J6">
        <v>100</v>
      </c>
      <c r="O6">
        <v>97.8</v>
      </c>
      <c r="P6">
        <f t="shared" si="0"/>
        <v>6</v>
      </c>
      <c r="Q6">
        <f t="shared" si="1"/>
        <v>1</v>
      </c>
    </row>
    <row r="7" spans="1:17" x14ac:dyDescent="0.3">
      <c r="B7" t="s">
        <v>4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O7">
        <v>100</v>
      </c>
      <c r="P7">
        <f t="shared" si="0"/>
        <v>7</v>
      </c>
      <c r="Q7">
        <f t="shared" si="1"/>
        <v>0</v>
      </c>
    </row>
    <row r="8" spans="1:17" x14ac:dyDescent="0.3">
      <c r="B8" t="s">
        <v>5</v>
      </c>
      <c r="C8">
        <v>99.21</v>
      </c>
      <c r="D8">
        <v>99.38</v>
      </c>
      <c r="E8">
        <v>99.53</v>
      </c>
      <c r="F8">
        <v>100</v>
      </c>
      <c r="G8">
        <v>99.82</v>
      </c>
      <c r="H8">
        <v>100</v>
      </c>
      <c r="I8">
        <v>100</v>
      </c>
      <c r="J8">
        <v>96.55</v>
      </c>
      <c r="O8">
        <v>99.73</v>
      </c>
      <c r="P8">
        <f t="shared" si="0"/>
        <v>7</v>
      </c>
      <c r="Q8">
        <f t="shared" si="1"/>
        <v>0</v>
      </c>
    </row>
    <row r="9" spans="1:17" x14ac:dyDescent="0.3">
      <c r="B9" t="s">
        <v>6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O9">
        <v>100</v>
      </c>
      <c r="P9">
        <f t="shared" si="0"/>
        <v>7</v>
      </c>
      <c r="Q9">
        <f t="shared" si="1"/>
        <v>0</v>
      </c>
    </row>
    <row r="10" spans="1:17" x14ac:dyDescent="0.3">
      <c r="B10" t="s">
        <v>7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O10">
        <v>100</v>
      </c>
      <c r="P10">
        <f t="shared" si="0"/>
        <v>7</v>
      </c>
      <c r="Q10">
        <f t="shared" si="1"/>
        <v>0</v>
      </c>
    </row>
    <row r="11" spans="1:17" x14ac:dyDescent="0.3">
      <c r="B11" t="s">
        <v>8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O11">
        <v>100</v>
      </c>
      <c r="P11">
        <f t="shared" si="0"/>
        <v>7</v>
      </c>
      <c r="Q11">
        <f t="shared" si="1"/>
        <v>0</v>
      </c>
    </row>
    <row r="12" spans="1:17" x14ac:dyDescent="0.3">
      <c r="B12" t="s">
        <v>9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O12">
        <v>100</v>
      </c>
      <c r="P12">
        <f t="shared" si="0"/>
        <v>7</v>
      </c>
      <c r="Q12">
        <f t="shared" si="1"/>
        <v>0</v>
      </c>
    </row>
    <row r="13" spans="1:17" x14ac:dyDescent="0.3">
      <c r="B13" t="s">
        <v>10</v>
      </c>
      <c r="C13">
        <v>100</v>
      </c>
      <c r="D13">
        <v>99.23</v>
      </c>
      <c r="E13">
        <v>99.78</v>
      </c>
      <c r="F13">
        <v>99.66</v>
      </c>
      <c r="G13">
        <v>99.8</v>
      </c>
      <c r="H13">
        <v>99.82</v>
      </c>
      <c r="I13">
        <v>100</v>
      </c>
      <c r="J13">
        <v>100</v>
      </c>
      <c r="O13">
        <v>99.77</v>
      </c>
      <c r="P13">
        <f t="shared" si="0"/>
        <v>7</v>
      </c>
      <c r="Q13">
        <f t="shared" si="1"/>
        <v>0</v>
      </c>
    </row>
    <row r="14" spans="1:17" x14ac:dyDescent="0.3">
      <c r="B14" t="s">
        <v>11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O14">
        <v>100</v>
      </c>
      <c r="P14">
        <f t="shared" si="0"/>
        <v>7</v>
      </c>
      <c r="Q14">
        <f t="shared" si="1"/>
        <v>0</v>
      </c>
    </row>
    <row r="15" spans="1:17" x14ac:dyDescent="0.3">
      <c r="B15" t="s">
        <v>12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O15">
        <v>100</v>
      </c>
      <c r="P15">
        <f t="shared" si="0"/>
        <v>7</v>
      </c>
      <c r="Q15">
        <f t="shared" si="1"/>
        <v>0</v>
      </c>
    </row>
    <row r="16" spans="1:17" x14ac:dyDescent="0.3">
      <c r="B16" t="s">
        <v>13</v>
      </c>
      <c r="C16">
        <v>100</v>
      </c>
      <c r="D16">
        <v>100</v>
      </c>
      <c r="E16">
        <v>97.3</v>
      </c>
      <c r="F16">
        <v>100</v>
      </c>
      <c r="G16">
        <v>100</v>
      </c>
      <c r="H16">
        <v>100</v>
      </c>
      <c r="I16">
        <v>100</v>
      </c>
      <c r="J16">
        <v>100</v>
      </c>
      <c r="O16">
        <v>99.63</v>
      </c>
      <c r="P16">
        <f t="shared" si="0"/>
        <v>6</v>
      </c>
      <c r="Q16">
        <f t="shared" si="1"/>
        <v>1</v>
      </c>
    </row>
    <row r="17" spans="2:17" x14ac:dyDescent="0.3">
      <c r="B17" t="s">
        <v>14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O17">
        <v>100</v>
      </c>
      <c r="P17">
        <f t="shared" si="0"/>
        <v>7</v>
      </c>
      <c r="Q17">
        <f t="shared" si="1"/>
        <v>0</v>
      </c>
    </row>
    <row r="18" spans="2:17" x14ac:dyDescent="0.3">
      <c r="B18" t="s">
        <v>15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O18">
        <v>100</v>
      </c>
      <c r="P18">
        <f t="shared" si="0"/>
        <v>7</v>
      </c>
      <c r="Q18">
        <f t="shared" si="1"/>
        <v>0</v>
      </c>
    </row>
    <row r="19" spans="2:17" x14ac:dyDescent="0.3">
      <c r="B19" t="s">
        <v>16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99.1</v>
      </c>
      <c r="I19">
        <v>100</v>
      </c>
      <c r="J19">
        <v>100</v>
      </c>
      <c r="O19">
        <v>99.83</v>
      </c>
      <c r="P19">
        <f t="shared" si="0"/>
        <v>7</v>
      </c>
      <c r="Q19">
        <f t="shared" si="1"/>
        <v>0</v>
      </c>
    </row>
    <row r="20" spans="2:17" x14ac:dyDescent="0.3">
      <c r="B20" t="s">
        <v>17</v>
      </c>
      <c r="C20">
        <v>100</v>
      </c>
      <c r="D20">
        <v>100</v>
      </c>
      <c r="E20">
        <v>100</v>
      </c>
      <c r="F20">
        <v>100</v>
      </c>
      <c r="G20">
        <v>96.15</v>
      </c>
      <c r="H20">
        <v>100</v>
      </c>
      <c r="I20">
        <v>100</v>
      </c>
      <c r="J20">
        <v>100</v>
      </c>
      <c r="O20">
        <v>99.36</v>
      </c>
      <c r="P20">
        <f t="shared" si="0"/>
        <v>6</v>
      </c>
      <c r="Q20">
        <f t="shared" si="1"/>
        <v>1</v>
      </c>
    </row>
    <row r="21" spans="2:17" x14ac:dyDescent="0.3">
      <c r="B21" t="s">
        <v>18</v>
      </c>
      <c r="C21">
        <v>100</v>
      </c>
      <c r="D21">
        <v>100</v>
      </c>
      <c r="E21">
        <v>100</v>
      </c>
      <c r="F21">
        <v>100</v>
      </c>
      <c r="G21">
        <v>97.78</v>
      </c>
      <c r="H21">
        <v>100</v>
      </c>
      <c r="I21">
        <v>100</v>
      </c>
      <c r="J21">
        <v>100</v>
      </c>
      <c r="O21">
        <v>99.49</v>
      </c>
      <c r="P21">
        <f t="shared" si="0"/>
        <v>6</v>
      </c>
      <c r="Q21">
        <f t="shared" si="1"/>
        <v>1</v>
      </c>
    </row>
    <row r="22" spans="2:17" x14ac:dyDescent="0.3">
      <c r="B22" t="s">
        <v>19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O22">
        <v>100</v>
      </c>
      <c r="P22">
        <f t="shared" si="0"/>
        <v>7</v>
      </c>
      <c r="Q22">
        <f t="shared" si="1"/>
        <v>0</v>
      </c>
    </row>
    <row r="23" spans="2:17" x14ac:dyDescent="0.3">
      <c r="B23" t="s">
        <v>20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O23">
        <v>100</v>
      </c>
      <c r="P23">
        <f t="shared" si="0"/>
        <v>7</v>
      </c>
      <c r="Q23">
        <f t="shared" si="1"/>
        <v>0</v>
      </c>
    </row>
    <row r="24" spans="2:17" x14ac:dyDescent="0.3">
      <c r="B24" t="s">
        <v>21</v>
      </c>
      <c r="C24">
        <v>100</v>
      </c>
      <c r="D24">
        <v>100</v>
      </c>
      <c r="E24">
        <v>99.17</v>
      </c>
      <c r="F24">
        <v>99.19</v>
      </c>
      <c r="G24">
        <v>100</v>
      </c>
      <c r="H24">
        <v>99.78</v>
      </c>
      <c r="I24">
        <v>100</v>
      </c>
      <c r="J24">
        <v>100</v>
      </c>
      <c r="O24">
        <v>99.7</v>
      </c>
      <c r="P24">
        <f t="shared" si="0"/>
        <v>7</v>
      </c>
      <c r="Q24">
        <f t="shared" si="1"/>
        <v>0</v>
      </c>
    </row>
    <row r="25" spans="2:17" x14ac:dyDescent="0.3">
      <c r="B25" t="s">
        <v>22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94.74</v>
      </c>
      <c r="I25">
        <v>100</v>
      </c>
      <c r="J25">
        <v>100</v>
      </c>
      <c r="O25">
        <v>98.99</v>
      </c>
      <c r="P25">
        <f t="shared" si="0"/>
        <v>6</v>
      </c>
      <c r="Q25">
        <f t="shared" si="1"/>
        <v>1</v>
      </c>
    </row>
    <row r="26" spans="2:17" x14ac:dyDescent="0.3">
      <c r="B26" t="s">
        <v>23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99.18</v>
      </c>
      <c r="I26">
        <v>100</v>
      </c>
      <c r="J26">
        <v>100</v>
      </c>
      <c r="O26">
        <v>99.89</v>
      </c>
      <c r="P26">
        <f t="shared" si="0"/>
        <v>7</v>
      </c>
      <c r="Q26">
        <f t="shared" si="1"/>
        <v>0</v>
      </c>
    </row>
    <row r="27" spans="2:17" x14ac:dyDescent="0.3">
      <c r="B27" t="s">
        <v>24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O27">
        <v>100</v>
      </c>
      <c r="P27">
        <f t="shared" si="0"/>
        <v>7</v>
      </c>
      <c r="Q27">
        <f t="shared" si="1"/>
        <v>0</v>
      </c>
    </row>
    <row r="28" spans="2:17" x14ac:dyDescent="0.3">
      <c r="B28" t="s">
        <v>25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O28">
        <v>100</v>
      </c>
      <c r="P28">
        <f t="shared" si="0"/>
        <v>7</v>
      </c>
      <c r="Q28">
        <f t="shared" si="1"/>
        <v>0</v>
      </c>
    </row>
    <row r="29" spans="2:17" x14ac:dyDescent="0.3">
      <c r="B29" t="s">
        <v>26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O29">
        <v>100</v>
      </c>
      <c r="P29">
        <f t="shared" si="0"/>
        <v>7</v>
      </c>
      <c r="Q29">
        <f t="shared" si="1"/>
        <v>0</v>
      </c>
    </row>
    <row r="30" spans="2:17" x14ac:dyDescent="0.3">
      <c r="B30" t="s">
        <v>27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98.15</v>
      </c>
      <c r="J30">
        <v>100</v>
      </c>
      <c r="O30">
        <v>99.52</v>
      </c>
      <c r="P30">
        <f t="shared" si="0"/>
        <v>6</v>
      </c>
      <c r="Q30">
        <f t="shared" si="1"/>
        <v>1</v>
      </c>
    </row>
    <row r="31" spans="2:17" x14ac:dyDescent="0.3">
      <c r="B31" t="s">
        <v>28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O31">
        <v>100</v>
      </c>
      <c r="P31">
        <f t="shared" si="0"/>
        <v>7</v>
      </c>
      <c r="Q31">
        <f t="shared" si="1"/>
        <v>0</v>
      </c>
    </row>
    <row r="32" spans="2:17" x14ac:dyDescent="0.3">
      <c r="B32" t="s">
        <v>29</v>
      </c>
      <c r="C32">
        <v>100</v>
      </c>
      <c r="D32">
        <v>100</v>
      </c>
      <c r="E32">
        <v>100</v>
      </c>
      <c r="F32">
        <v>99.17</v>
      </c>
      <c r="G32">
        <v>100</v>
      </c>
      <c r="H32">
        <v>99.15</v>
      </c>
      <c r="I32">
        <v>100</v>
      </c>
      <c r="J32">
        <v>100</v>
      </c>
      <c r="O32">
        <v>99.76</v>
      </c>
      <c r="P32">
        <f t="shared" si="0"/>
        <v>7</v>
      </c>
      <c r="Q32">
        <f t="shared" si="1"/>
        <v>0</v>
      </c>
    </row>
    <row r="33" spans="2:17" x14ac:dyDescent="0.3">
      <c r="B33" t="s">
        <v>30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99.47</v>
      </c>
      <c r="J33">
        <v>100</v>
      </c>
      <c r="O33">
        <v>99.91</v>
      </c>
      <c r="P33">
        <f t="shared" si="0"/>
        <v>7</v>
      </c>
      <c r="Q33">
        <f t="shared" si="1"/>
        <v>0</v>
      </c>
    </row>
    <row r="34" spans="2:17" x14ac:dyDescent="0.3">
      <c r="B34" t="s">
        <v>31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97.06</v>
      </c>
      <c r="I34">
        <v>100</v>
      </c>
      <c r="J34">
        <v>100</v>
      </c>
      <c r="O34">
        <v>99.58</v>
      </c>
      <c r="P34">
        <f t="shared" si="0"/>
        <v>6</v>
      </c>
      <c r="Q34">
        <f t="shared" si="1"/>
        <v>1</v>
      </c>
    </row>
    <row r="35" spans="2:17" x14ac:dyDescent="0.3">
      <c r="B35" t="s">
        <v>32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O35">
        <v>100</v>
      </c>
      <c r="P35">
        <f t="shared" si="0"/>
        <v>7</v>
      </c>
      <c r="Q35">
        <f t="shared" si="1"/>
        <v>0</v>
      </c>
    </row>
    <row r="36" spans="2:17" x14ac:dyDescent="0.3">
      <c r="B36" t="s">
        <v>33</v>
      </c>
      <c r="C36" t="s">
        <v>34</v>
      </c>
      <c r="D36">
        <v>50</v>
      </c>
      <c r="E36">
        <v>100</v>
      </c>
      <c r="F36">
        <v>100</v>
      </c>
      <c r="G36">
        <v>50</v>
      </c>
      <c r="H36">
        <v>100</v>
      </c>
      <c r="I36">
        <v>100</v>
      </c>
      <c r="J36">
        <v>100</v>
      </c>
      <c r="O36">
        <v>57.14</v>
      </c>
      <c r="P36">
        <f t="shared" si="0"/>
        <v>4</v>
      </c>
      <c r="Q36">
        <f t="shared" si="1"/>
        <v>2</v>
      </c>
    </row>
    <row r="37" spans="2:17" x14ac:dyDescent="0.3">
      <c r="B37" t="s">
        <v>35</v>
      </c>
      <c r="C37">
        <v>99.81</v>
      </c>
      <c r="D37">
        <v>100</v>
      </c>
      <c r="E37">
        <v>100</v>
      </c>
      <c r="F37">
        <v>98.48</v>
      </c>
      <c r="G37">
        <v>94.67</v>
      </c>
      <c r="H37">
        <v>99.85</v>
      </c>
      <c r="I37">
        <v>100</v>
      </c>
      <c r="J37">
        <v>100</v>
      </c>
      <c r="O37">
        <v>98.69</v>
      </c>
      <c r="P37">
        <f t="shared" si="0"/>
        <v>5</v>
      </c>
      <c r="Q37">
        <f t="shared" si="1"/>
        <v>2</v>
      </c>
    </row>
    <row r="38" spans="2:17" x14ac:dyDescent="0.3">
      <c r="B38" t="s">
        <v>36</v>
      </c>
      <c r="C38">
        <v>100</v>
      </c>
      <c r="D38">
        <v>100</v>
      </c>
      <c r="E38">
        <v>100</v>
      </c>
      <c r="F38">
        <v>100</v>
      </c>
      <c r="G38">
        <v>99.61</v>
      </c>
      <c r="H38">
        <v>100</v>
      </c>
      <c r="I38">
        <v>100</v>
      </c>
      <c r="J38">
        <v>100</v>
      </c>
      <c r="O38">
        <v>99.92</v>
      </c>
      <c r="P38">
        <f t="shared" si="0"/>
        <v>7</v>
      </c>
      <c r="Q38">
        <f t="shared" si="1"/>
        <v>0</v>
      </c>
    </row>
    <row r="39" spans="2:17" x14ac:dyDescent="0.3">
      <c r="B39" t="s">
        <v>37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O39">
        <v>100</v>
      </c>
      <c r="P39">
        <f t="shared" si="0"/>
        <v>7</v>
      </c>
      <c r="Q39">
        <f t="shared" si="1"/>
        <v>0</v>
      </c>
    </row>
    <row r="40" spans="2:17" x14ac:dyDescent="0.3">
      <c r="B40" t="s">
        <v>38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O40">
        <v>100</v>
      </c>
      <c r="P40">
        <f t="shared" si="0"/>
        <v>7</v>
      </c>
      <c r="Q40">
        <f t="shared" si="1"/>
        <v>0</v>
      </c>
    </row>
    <row r="41" spans="2:17" x14ac:dyDescent="0.3">
      <c r="B41" t="s">
        <v>39</v>
      </c>
      <c r="C41">
        <v>100</v>
      </c>
      <c r="D41">
        <v>100</v>
      </c>
      <c r="E41">
        <v>100</v>
      </c>
      <c r="F41">
        <v>98.99</v>
      </c>
      <c r="G41">
        <v>100</v>
      </c>
      <c r="H41">
        <v>90.48</v>
      </c>
      <c r="I41">
        <v>100</v>
      </c>
      <c r="J41">
        <v>100</v>
      </c>
      <c r="O41">
        <v>98.38</v>
      </c>
      <c r="P41">
        <f t="shared" si="0"/>
        <v>5</v>
      </c>
      <c r="Q41">
        <f t="shared" si="1"/>
        <v>2</v>
      </c>
    </row>
    <row r="42" spans="2:17" x14ac:dyDescent="0.3">
      <c r="B42" t="s">
        <v>40</v>
      </c>
      <c r="C42">
        <v>100</v>
      </c>
      <c r="D42">
        <v>100</v>
      </c>
      <c r="E42">
        <v>96.91</v>
      </c>
      <c r="F42">
        <v>100</v>
      </c>
      <c r="G42">
        <v>100</v>
      </c>
      <c r="H42">
        <v>100</v>
      </c>
      <c r="I42">
        <v>100</v>
      </c>
      <c r="J42">
        <v>100</v>
      </c>
      <c r="O42">
        <v>99.73</v>
      </c>
      <c r="P42">
        <f t="shared" si="0"/>
        <v>6</v>
      </c>
      <c r="Q42">
        <f t="shared" si="1"/>
        <v>1</v>
      </c>
    </row>
    <row r="43" spans="2:17" x14ac:dyDescent="0.3">
      <c r="B43" t="s">
        <v>41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O43">
        <v>100</v>
      </c>
      <c r="P43">
        <f t="shared" si="0"/>
        <v>7</v>
      </c>
      <c r="Q43">
        <f t="shared" si="1"/>
        <v>0</v>
      </c>
    </row>
    <row r="44" spans="2:17" x14ac:dyDescent="0.3">
      <c r="B44" t="s">
        <v>42</v>
      </c>
      <c r="C44">
        <v>100</v>
      </c>
      <c r="D44">
        <v>100</v>
      </c>
      <c r="E44">
        <v>100</v>
      </c>
      <c r="F44">
        <v>96.3</v>
      </c>
      <c r="G44">
        <v>96.77</v>
      </c>
      <c r="H44">
        <v>96.3</v>
      </c>
      <c r="I44">
        <v>95.74</v>
      </c>
      <c r="J44">
        <v>100</v>
      </c>
      <c r="O44">
        <v>97.26</v>
      </c>
      <c r="P44">
        <f t="shared" si="0"/>
        <v>3</v>
      </c>
      <c r="Q44">
        <f t="shared" si="1"/>
        <v>4</v>
      </c>
    </row>
    <row r="45" spans="2:17" x14ac:dyDescent="0.3">
      <c r="B45" t="s">
        <v>43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O45">
        <v>100</v>
      </c>
      <c r="P45">
        <f t="shared" si="0"/>
        <v>7</v>
      </c>
      <c r="Q45">
        <f t="shared" si="1"/>
        <v>0</v>
      </c>
    </row>
    <row r="46" spans="2:17" x14ac:dyDescent="0.3">
      <c r="B46" t="s">
        <v>44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O46">
        <v>100</v>
      </c>
      <c r="P46">
        <f t="shared" si="0"/>
        <v>7</v>
      </c>
      <c r="Q46">
        <f t="shared" si="1"/>
        <v>0</v>
      </c>
    </row>
    <row r="47" spans="2:17" x14ac:dyDescent="0.3">
      <c r="B47" t="s">
        <v>45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98.91</v>
      </c>
      <c r="I47">
        <v>100</v>
      </c>
      <c r="J47">
        <v>100</v>
      </c>
      <c r="O47">
        <v>99.84</v>
      </c>
      <c r="P47">
        <f t="shared" si="0"/>
        <v>6</v>
      </c>
      <c r="Q47">
        <f t="shared" si="1"/>
        <v>1</v>
      </c>
    </row>
    <row r="48" spans="2:17" x14ac:dyDescent="0.3">
      <c r="B48" t="s">
        <v>46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99.8</v>
      </c>
      <c r="I48">
        <v>100</v>
      </c>
      <c r="J48">
        <v>100</v>
      </c>
      <c r="O48">
        <v>99.96</v>
      </c>
      <c r="P48">
        <f t="shared" si="0"/>
        <v>7</v>
      </c>
      <c r="Q48">
        <f t="shared" si="1"/>
        <v>0</v>
      </c>
    </row>
    <row r="49" spans="2:17" x14ac:dyDescent="0.3">
      <c r="B49" t="s">
        <v>47</v>
      </c>
      <c r="C49">
        <v>100</v>
      </c>
      <c r="D49">
        <v>100</v>
      </c>
      <c r="E49">
        <v>100</v>
      </c>
      <c r="F49">
        <v>99.21</v>
      </c>
      <c r="G49">
        <v>100</v>
      </c>
      <c r="H49">
        <v>100</v>
      </c>
      <c r="I49">
        <v>100</v>
      </c>
      <c r="J49">
        <v>100</v>
      </c>
      <c r="O49">
        <v>99.89</v>
      </c>
      <c r="P49">
        <f t="shared" si="0"/>
        <v>7</v>
      </c>
      <c r="Q49">
        <f t="shared" si="1"/>
        <v>0</v>
      </c>
    </row>
    <row r="50" spans="2:17" x14ac:dyDescent="0.3">
      <c r="B50" t="s">
        <v>48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O50">
        <v>100</v>
      </c>
      <c r="P50">
        <f t="shared" si="0"/>
        <v>7</v>
      </c>
      <c r="Q50">
        <f t="shared" si="1"/>
        <v>0</v>
      </c>
    </row>
    <row r="51" spans="2:17" x14ac:dyDescent="0.3">
      <c r="B51" t="s">
        <v>49</v>
      </c>
      <c r="C51">
        <v>99.81</v>
      </c>
      <c r="D51">
        <v>99.73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O51">
        <v>99.95</v>
      </c>
      <c r="P51">
        <f t="shared" si="0"/>
        <v>7</v>
      </c>
      <c r="Q51">
        <f t="shared" si="1"/>
        <v>0</v>
      </c>
    </row>
    <row r="52" spans="2:17" x14ac:dyDescent="0.3">
      <c r="B52" t="s">
        <v>50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O52">
        <v>100</v>
      </c>
      <c r="P52">
        <f t="shared" si="0"/>
        <v>7</v>
      </c>
      <c r="Q52">
        <f t="shared" si="1"/>
        <v>0</v>
      </c>
    </row>
    <row r="53" spans="2:17" x14ac:dyDescent="0.3">
      <c r="B53" t="s">
        <v>51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O53">
        <v>100</v>
      </c>
      <c r="P53">
        <f t="shared" si="0"/>
        <v>7</v>
      </c>
      <c r="Q53">
        <f t="shared" si="1"/>
        <v>0</v>
      </c>
    </row>
    <row r="54" spans="2:17" x14ac:dyDescent="0.3">
      <c r="B54" t="s">
        <v>52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O54">
        <v>100</v>
      </c>
      <c r="P54">
        <f t="shared" si="0"/>
        <v>7</v>
      </c>
      <c r="Q54">
        <f t="shared" si="1"/>
        <v>0</v>
      </c>
    </row>
    <row r="55" spans="2:17" x14ac:dyDescent="0.3">
      <c r="B55" t="s">
        <v>53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O55">
        <v>100</v>
      </c>
      <c r="P55">
        <f t="shared" si="0"/>
        <v>7</v>
      </c>
      <c r="Q55">
        <f t="shared" si="1"/>
        <v>0</v>
      </c>
    </row>
    <row r="56" spans="2:17" x14ac:dyDescent="0.3">
      <c r="B56" t="s">
        <v>54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O56">
        <v>100</v>
      </c>
      <c r="P56">
        <f t="shared" si="0"/>
        <v>7</v>
      </c>
      <c r="Q56">
        <f t="shared" si="1"/>
        <v>0</v>
      </c>
    </row>
    <row r="57" spans="2:17" x14ac:dyDescent="0.3">
      <c r="B57" t="s">
        <v>55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O57">
        <v>100</v>
      </c>
      <c r="P57">
        <f t="shared" si="0"/>
        <v>7</v>
      </c>
      <c r="Q57">
        <f t="shared" si="1"/>
        <v>0</v>
      </c>
    </row>
    <row r="58" spans="2:17" x14ac:dyDescent="0.3">
      <c r="B58" t="s">
        <v>56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O58">
        <v>100</v>
      </c>
      <c r="P58">
        <f t="shared" si="0"/>
        <v>7</v>
      </c>
      <c r="Q58">
        <f t="shared" si="1"/>
        <v>0</v>
      </c>
    </row>
    <row r="59" spans="2:17" x14ac:dyDescent="0.3">
      <c r="B59" t="s">
        <v>57</v>
      </c>
      <c r="C59">
        <v>100</v>
      </c>
      <c r="D59">
        <v>100</v>
      </c>
      <c r="E59">
        <v>100</v>
      </c>
      <c r="F59">
        <v>100</v>
      </c>
      <c r="G59">
        <v>98.9</v>
      </c>
      <c r="H59">
        <v>99.12</v>
      </c>
      <c r="I59">
        <v>100</v>
      </c>
      <c r="J59">
        <v>100</v>
      </c>
      <c r="O59">
        <v>99.64</v>
      </c>
      <c r="P59">
        <f t="shared" si="0"/>
        <v>6</v>
      </c>
      <c r="Q59">
        <f t="shared" si="1"/>
        <v>1</v>
      </c>
    </row>
    <row r="60" spans="2:17" x14ac:dyDescent="0.3">
      <c r="B60" t="s">
        <v>58</v>
      </c>
      <c r="C60">
        <v>99.18</v>
      </c>
      <c r="D60">
        <v>100</v>
      </c>
      <c r="E60">
        <v>99.19</v>
      </c>
      <c r="F60">
        <v>100</v>
      </c>
      <c r="G60">
        <v>100</v>
      </c>
      <c r="H60">
        <v>99.59</v>
      </c>
      <c r="I60">
        <v>100</v>
      </c>
      <c r="J60">
        <v>100</v>
      </c>
      <c r="O60">
        <v>99.77</v>
      </c>
      <c r="P60">
        <f t="shared" si="0"/>
        <v>7</v>
      </c>
      <c r="Q60">
        <f t="shared" si="1"/>
        <v>0</v>
      </c>
    </row>
    <row r="61" spans="2:17" x14ac:dyDescent="0.3">
      <c r="B61" t="s">
        <v>59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O61">
        <v>100</v>
      </c>
      <c r="P61">
        <f t="shared" si="0"/>
        <v>7</v>
      </c>
      <c r="Q61">
        <f t="shared" si="1"/>
        <v>0</v>
      </c>
    </row>
    <row r="62" spans="2:17" x14ac:dyDescent="0.3">
      <c r="B62" t="s">
        <v>60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O62">
        <v>100</v>
      </c>
      <c r="P62">
        <f t="shared" si="0"/>
        <v>7</v>
      </c>
      <c r="Q62">
        <f t="shared" si="1"/>
        <v>0</v>
      </c>
    </row>
    <row r="63" spans="2:17" x14ac:dyDescent="0.3">
      <c r="B63" t="s">
        <v>61</v>
      </c>
      <c r="C63">
        <v>100</v>
      </c>
      <c r="D63">
        <v>100</v>
      </c>
      <c r="E63">
        <v>100</v>
      </c>
      <c r="F63">
        <v>100</v>
      </c>
      <c r="G63">
        <v>99.69</v>
      </c>
      <c r="H63">
        <v>99.73</v>
      </c>
      <c r="I63">
        <v>100</v>
      </c>
      <c r="J63">
        <v>100</v>
      </c>
      <c r="O63">
        <v>99.91</v>
      </c>
      <c r="P63">
        <f t="shared" si="0"/>
        <v>7</v>
      </c>
      <c r="Q63">
        <f t="shared" si="1"/>
        <v>0</v>
      </c>
    </row>
    <row r="64" spans="2:17" x14ac:dyDescent="0.3">
      <c r="B64" t="s">
        <v>62</v>
      </c>
      <c r="C64">
        <v>100</v>
      </c>
      <c r="D64">
        <v>100</v>
      </c>
      <c r="E64">
        <v>99.68</v>
      </c>
      <c r="F64">
        <v>98.73</v>
      </c>
      <c r="G64">
        <v>100</v>
      </c>
      <c r="H64">
        <v>100</v>
      </c>
      <c r="I64">
        <v>100</v>
      </c>
      <c r="J64">
        <v>100</v>
      </c>
      <c r="O64">
        <v>99.72</v>
      </c>
      <c r="P64">
        <f t="shared" si="0"/>
        <v>6</v>
      </c>
      <c r="Q64">
        <f t="shared" si="1"/>
        <v>1</v>
      </c>
    </row>
    <row r="65" spans="2:17" x14ac:dyDescent="0.3">
      <c r="B65" t="s">
        <v>63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O65">
        <v>100</v>
      </c>
      <c r="P65">
        <f t="shared" si="0"/>
        <v>7</v>
      </c>
      <c r="Q65">
        <f t="shared" si="1"/>
        <v>0</v>
      </c>
    </row>
    <row r="66" spans="2:17" x14ac:dyDescent="0.3">
      <c r="B66" t="s">
        <v>64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O66">
        <v>100</v>
      </c>
      <c r="P66">
        <f t="shared" si="0"/>
        <v>7</v>
      </c>
      <c r="Q66">
        <f t="shared" si="1"/>
        <v>0</v>
      </c>
    </row>
    <row r="67" spans="2:17" x14ac:dyDescent="0.3">
      <c r="B67" t="s">
        <v>65</v>
      </c>
      <c r="C67">
        <v>100</v>
      </c>
      <c r="D67">
        <v>100</v>
      </c>
      <c r="E67">
        <v>100</v>
      </c>
      <c r="F67">
        <v>98.5</v>
      </c>
      <c r="G67">
        <v>93.47</v>
      </c>
      <c r="H67">
        <v>98.43</v>
      </c>
      <c r="I67">
        <v>93.41</v>
      </c>
      <c r="J67">
        <v>100</v>
      </c>
      <c r="O67">
        <v>95.9</v>
      </c>
      <c r="P67">
        <f t="shared" si="0"/>
        <v>3</v>
      </c>
      <c r="Q67">
        <f t="shared" si="1"/>
        <v>4</v>
      </c>
    </row>
    <row r="68" spans="2:17" x14ac:dyDescent="0.3">
      <c r="B68" t="s">
        <v>66</v>
      </c>
      <c r="C68">
        <v>100</v>
      </c>
      <c r="D68">
        <v>100</v>
      </c>
      <c r="E68">
        <v>98.98</v>
      </c>
      <c r="F68">
        <v>100</v>
      </c>
      <c r="G68">
        <v>100</v>
      </c>
      <c r="H68">
        <v>100</v>
      </c>
      <c r="I68">
        <v>100</v>
      </c>
      <c r="J68">
        <v>100</v>
      </c>
      <c r="O68">
        <v>99.85</v>
      </c>
      <c r="P68">
        <f t="shared" ref="P68:P86" si="2">COUNTIF(C68:I68,"&gt;=99.04")</f>
        <v>6</v>
      </c>
      <c r="Q68">
        <f t="shared" ref="Q68:Q86" si="3">COUNTIF(C68:I68,"&lt;99.04")</f>
        <v>1</v>
      </c>
    </row>
    <row r="69" spans="2:17" x14ac:dyDescent="0.3">
      <c r="B69" t="s">
        <v>67</v>
      </c>
      <c r="C69">
        <v>99.38</v>
      </c>
      <c r="D69">
        <v>99.39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O69">
        <v>99.87</v>
      </c>
      <c r="P69">
        <f t="shared" si="2"/>
        <v>7</v>
      </c>
      <c r="Q69">
        <f t="shared" si="3"/>
        <v>0</v>
      </c>
    </row>
    <row r="70" spans="2:17" x14ac:dyDescent="0.3">
      <c r="B70" t="s">
        <v>68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O70">
        <v>100</v>
      </c>
      <c r="P70">
        <f t="shared" si="2"/>
        <v>7</v>
      </c>
      <c r="Q70">
        <f t="shared" si="3"/>
        <v>0</v>
      </c>
    </row>
    <row r="71" spans="2:17" x14ac:dyDescent="0.3">
      <c r="B71" t="s">
        <v>69</v>
      </c>
      <c r="C71">
        <v>100</v>
      </c>
      <c r="D71">
        <v>100</v>
      </c>
      <c r="E71">
        <v>96.72</v>
      </c>
      <c r="F71">
        <v>100</v>
      </c>
      <c r="G71">
        <v>100</v>
      </c>
      <c r="H71">
        <v>100</v>
      </c>
      <c r="I71">
        <v>100</v>
      </c>
      <c r="J71">
        <v>100</v>
      </c>
      <c r="O71">
        <v>99.22</v>
      </c>
      <c r="P71">
        <f t="shared" si="2"/>
        <v>6</v>
      </c>
      <c r="Q71">
        <f t="shared" si="3"/>
        <v>1</v>
      </c>
    </row>
    <row r="72" spans="2:17" x14ac:dyDescent="0.3">
      <c r="B72" t="s">
        <v>70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87.5</v>
      </c>
      <c r="I72">
        <v>100</v>
      </c>
      <c r="J72">
        <v>100</v>
      </c>
      <c r="O72">
        <v>98.36</v>
      </c>
      <c r="P72">
        <f t="shared" si="2"/>
        <v>6</v>
      </c>
      <c r="Q72">
        <f t="shared" si="3"/>
        <v>1</v>
      </c>
    </row>
    <row r="73" spans="2:17" x14ac:dyDescent="0.3">
      <c r="B73" t="s">
        <v>71</v>
      </c>
      <c r="C73">
        <v>99.37</v>
      </c>
      <c r="D73">
        <v>99.66</v>
      </c>
      <c r="E73">
        <v>100</v>
      </c>
      <c r="F73">
        <v>99.76</v>
      </c>
      <c r="G73">
        <v>100</v>
      </c>
      <c r="H73">
        <v>99.59</v>
      </c>
      <c r="I73">
        <v>100</v>
      </c>
      <c r="J73">
        <v>100</v>
      </c>
      <c r="O73">
        <v>99.78</v>
      </c>
      <c r="P73">
        <f t="shared" si="2"/>
        <v>7</v>
      </c>
      <c r="Q73">
        <f t="shared" si="3"/>
        <v>0</v>
      </c>
    </row>
    <row r="74" spans="2:17" x14ac:dyDescent="0.3">
      <c r="B74" t="s">
        <v>72</v>
      </c>
      <c r="C74">
        <v>100</v>
      </c>
      <c r="D74">
        <v>99.64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O74">
        <v>99.96</v>
      </c>
      <c r="P74">
        <f t="shared" si="2"/>
        <v>7</v>
      </c>
      <c r="Q74">
        <f t="shared" si="3"/>
        <v>0</v>
      </c>
    </row>
    <row r="75" spans="2:17" x14ac:dyDescent="0.3">
      <c r="B75" t="s">
        <v>73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O75">
        <v>100</v>
      </c>
      <c r="P75">
        <f t="shared" si="2"/>
        <v>7</v>
      </c>
      <c r="Q75">
        <f t="shared" si="3"/>
        <v>0</v>
      </c>
    </row>
    <row r="76" spans="2:17" x14ac:dyDescent="0.3">
      <c r="B76" t="s">
        <v>74</v>
      </c>
      <c r="C76">
        <v>100</v>
      </c>
      <c r="D76">
        <v>100</v>
      </c>
      <c r="E76">
        <v>100</v>
      </c>
      <c r="F76">
        <v>99.65</v>
      </c>
      <c r="G76">
        <v>100</v>
      </c>
      <c r="H76">
        <v>100</v>
      </c>
      <c r="I76">
        <v>99.57</v>
      </c>
      <c r="J76">
        <v>100</v>
      </c>
      <c r="O76">
        <v>99.87</v>
      </c>
      <c r="P76">
        <f t="shared" si="2"/>
        <v>7</v>
      </c>
      <c r="Q76">
        <f t="shared" si="3"/>
        <v>0</v>
      </c>
    </row>
    <row r="77" spans="2:17" x14ac:dyDescent="0.3">
      <c r="B77" t="s">
        <v>75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O77">
        <v>100</v>
      </c>
      <c r="P77">
        <f t="shared" si="2"/>
        <v>7</v>
      </c>
      <c r="Q77">
        <f t="shared" si="3"/>
        <v>0</v>
      </c>
    </row>
    <row r="78" spans="2:17" x14ac:dyDescent="0.3">
      <c r="B78" t="s">
        <v>76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O78">
        <v>100</v>
      </c>
      <c r="P78">
        <f t="shared" si="2"/>
        <v>7</v>
      </c>
      <c r="Q78">
        <f t="shared" si="3"/>
        <v>0</v>
      </c>
    </row>
    <row r="79" spans="2:17" x14ac:dyDescent="0.3">
      <c r="B79" t="s">
        <v>77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98.78</v>
      </c>
      <c r="I79">
        <v>100</v>
      </c>
      <c r="J79">
        <v>100</v>
      </c>
      <c r="O79">
        <v>99.8</v>
      </c>
      <c r="P79">
        <f t="shared" si="2"/>
        <v>6</v>
      </c>
      <c r="Q79">
        <f t="shared" si="3"/>
        <v>1</v>
      </c>
    </row>
    <row r="80" spans="2:17" x14ac:dyDescent="0.3">
      <c r="B80" t="s">
        <v>78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99.41</v>
      </c>
      <c r="I80">
        <v>100</v>
      </c>
      <c r="J80">
        <v>100</v>
      </c>
      <c r="O80">
        <v>99.9</v>
      </c>
      <c r="P80">
        <f t="shared" si="2"/>
        <v>7</v>
      </c>
      <c r="Q80">
        <f t="shared" si="3"/>
        <v>0</v>
      </c>
    </row>
    <row r="81" spans="2:17" x14ac:dyDescent="0.3">
      <c r="B81" t="s">
        <v>79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O81">
        <v>100</v>
      </c>
      <c r="P81">
        <f t="shared" si="2"/>
        <v>7</v>
      </c>
      <c r="Q81">
        <f t="shared" si="3"/>
        <v>0</v>
      </c>
    </row>
    <row r="82" spans="2:17" x14ac:dyDescent="0.3">
      <c r="B82" t="s">
        <v>80</v>
      </c>
      <c r="C82">
        <v>100</v>
      </c>
      <c r="D82">
        <v>100</v>
      </c>
      <c r="E82">
        <v>100</v>
      </c>
      <c r="F82">
        <v>98.7</v>
      </c>
      <c r="G82">
        <v>100</v>
      </c>
      <c r="H82">
        <v>100</v>
      </c>
      <c r="I82">
        <v>100</v>
      </c>
      <c r="J82">
        <v>100</v>
      </c>
      <c r="O82">
        <v>99.76</v>
      </c>
      <c r="P82">
        <f t="shared" si="2"/>
        <v>6</v>
      </c>
      <c r="Q82">
        <f t="shared" si="3"/>
        <v>1</v>
      </c>
    </row>
    <row r="83" spans="2:17" x14ac:dyDescent="0.3">
      <c r="B83" t="s">
        <v>81</v>
      </c>
      <c r="C83">
        <v>100</v>
      </c>
      <c r="D83">
        <v>90.91</v>
      </c>
      <c r="E83">
        <v>80</v>
      </c>
      <c r="F83">
        <v>100</v>
      </c>
      <c r="G83">
        <v>100</v>
      </c>
      <c r="H83">
        <v>100</v>
      </c>
      <c r="I83">
        <v>100</v>
      </c>
      <c r="J83">
        <v>100</v>
      </c>
      <c r="O83">
        <v>97.5</v>
      </c>
      <c r="P83">
        <f t="shared" si="2"/>
        <v>5</v>
      </c>
      <c r="Q83">
        <f t="shared" si="3"/>
        <v>2</v>
      </c>
    </row>
    <row r="84" spans="2:17" x14ac:dyDescent="0.3">
      <c r="B84" t="s">
        <v>82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O84">
        <v>100</v>
      </c>
      <c r="P84">
        <f t="shared" si="2"/>
        <v>7</v>
      </c>
      <c r="Q84">
        <f t="shared" si="3"/>
        <v>0</v>
      </c>
    </row>
    <row r="85" spans="2:17" x14ac:dyDescent="0.3">
      <c r="B85" t="s">
        <v>83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98.41</v>
      </c>
      <c r="I85">
        <v>100</v>
      </c>
      <c r="J85">
        <v>100</v>
      </c>
      <c r="O85">
        <v>99.59</v>
      </c>
      <c r="P85">
        <f t="shared" si="2"/>
        <v>6</v>
      </c>
      <c r="Q85">
        <f t="shared" si="3"/>
        <v>1</v>
      </c>
    </row>
    <row r="86" spans="2:17" x14ac:dyDescent="0.3">
      <c r="B86" t="s">
        <v>84</v>
      </c>
      <c r="C86">
        <v>99.91</v>
      </c>
      <c r="D86">
        <v>99.86</v>
      </c>
      <c r="E86">
        <v>99.8</v>
      </c>
      <c r="F86">
        <v>99.69</v>
      </c>
      <c r="G86">
        <v>99.31</v>
      </c>
      <c r="H86">
        <v>99.7</v>
      </c>
      <c r="I86">
        <v>99.73</v>
      </c>
      <c r="J86">
        <v>99.88</v>
      </c>
      <c r="O86">
        <v>99.7</v>
      </c>
      <c r="P86">
        <f t="shared" si="2"/>
        <v>7</v>
      </c>
      <c r="Q86">
        <f t="shared" si="3"/>
        <v>0</v>
      </c>
    </row>
    <row r="91" spans="2:17" x14ac:dyDescent="0.3">
      <c r="O91" s="1"/>
    </row>
    <row r="92" spans="2:17" x14ac:dyDescent="0.3">
      <c r="O92" s="1"/>
    </row>
    <row r="93" spans="2:17" x14ac:dyDescent="0.3">
      <c r="O93" s="1"/>
    </row>
    <row r="95" spans="2:17" x14ac:dyDescent="0.3">
      <c r="O95" s="1"/>
    </row>
    <row r="96" spans="2:17" x14ac:dyDescent="0.3">
      <c r="O96" s="1"/>
    </row>
    <row r="101" spans="15:15" x14ac:dyDescent="0.3">
      <c r="O101" s="1"/>
    </row>
    <row r="106" spans="15:15" x14ac:dyDescent="0.3">
      <c r="O106" s="1"/>
    </row>
    <row r="112" spans="15:15" x14ac:dyDescent="0.3">
      <c r="O112" s="1"/>
    </row>
    <row r="119" spans="15:15" x14ac:dyDescent="0.3">
      <c r="O119" s="1"/>
    </row>
    <row r="121" spans="15:15" x14ac:dyDescent="0.3">
      <c r="O121" s="1"/>
    </row>
    <row r="125" spans="15:15" x14ac:dyDescent="0.3">
      <c r="O125" s="1"/>
    </row>
    <row r="126" spans="15:15" x14ac:dyDescent="0.3">
      <c r="O126" s="1"/>
    </row>
    <row r="130" spans="15:15" x14ac:dyDescent="0.3">
      <c r="O130" s="1"/>
    </row>
    <row r="136" spans="15:15" x14ac:dyDescent="0.3">
      <c r="O136" s="1"/>
    </row>
    <row r="139" spans="15:15" x14ac:dyDescent="0.3">
      <c r="O139" s="1"/>
    </row>
    <row r="148" spans="15:15" x14ac:dyDescent="0.3">
      <c r="O148" s="1"/>
    </row>
    <row r="150" spans="15:15" x14ac:dyDescent="0.3">
      <c r="O150" s="1"/>
    </row>
    <row r="151" spans="15:15" x14ac:dyDescent="0.3">
      <c r="O151" s="1"/>
    </row>
    <row r="152" spans="15:15" x14ac:dyDescent="0.3">
      <c r="O152" s="1"/>
    </row>
    <row r="155" spans="15:15" x14ac:dyDescent="0.3">
      <c r="O155" s="1"/>
    </row>
    <row r="157" spans="15:15" x14ac:dyDescent="0.3">
      <c r="O157" s="1"/>
    </row>
    <row r="161" spans="3:15" x14ac:dyDescent="0.3">
      <c r="O161" s="1"/>
    </row>
    <row r="162" spans="3:15" x14ac:dyDescent="0.3">
      <c r="O162" s="1"/>
    </row>
    <row r="164" spans="3:15" x14ac:dyDescent="0.3">
      <c r="O164" s="1"/>
    </row>
    <row r="174" spans="3:15" x14ac:dyDescent="0.3">
      <c r="C174" s="1"/>
      <c r="D174" s="1"/>
      <c r="E174" s="1"/>
      <c r="F174" s="1"/>
      <c r="G174" s="1"/>
      <c r="H174" s="1"/>
      <c r="I174" s="1"/>
      <c r="O174" s="1"/>
    </row>
    <row r="179" spans="15:15" x14ac:dyDescent="0.3">
      <c r="O179" s="1"/>
    </row>
    <row r="180" spans="15:15" x14ac:dyDescent="0.3">
      <c r="O180" s="1"/>
    </row>
    <row r="181" spans="15:15" x14ac:dyDescent="0.3">
      <c r="O181" s="1"/>
    </row>
    <row r="183" spans="15:15" x14ac:dyDescent="0.3">
      <c r="O183" s="1"/>
    </row>
    <row r="184" spans="15:15" x14ac:dyDescent="0.3">
      <c r="O184" s="1"/>
    </row>
    <row r="189" spans="15:15" x14ac:dyDescent="0.3">
      <c r="O189" s="1"/>
    </row>
    <row r="194" spans="15:15" x14ac:dyDescent="0.3">
      <c r="O194" s="1"/>
    </row>
    <row r="200" spans="15:15" x14ac:dyDescent="0.3">
      <c r="O200" s="1"/>
    </row>
    <row r="207" spans="15:15" x14ac:dyDescent="0.3">
      <c r="O207" s="1"/>
    </row>
    <row r="209" spans="15:15" x14ac:dyDescent="0.3">
      <c r="O209" s="1"/>
    </row>
    <row r="213" spans="15:15" x14ac:dyDescent="0.3">
      <c r="O213" s="1"/>
    </row>
    <row r="214" spans="15:15" x14ac:dyDescent="0.3">
      <c r="O214" s="1"/>
    </row>
    <row r="218" spans="15:15" x14ac:dyDescent="0.3">
      <c r="O218" s="1"/>
    </row>
    <row r="224" spans="15:15" x14ac:dyDescent="0.3">
      <c r="O224" s="1"/>
    </row>
    <row r="227" spans="15:15" x14ac:dyDescent="0.3">
      <c r="O227" s="1"/>
    </row>
    <row r="236" spans="15:15" x14ac:dyDescent="0.3">
      <c r="O236" s="1"/>
    </row>
    <row r="238" spans="15:15" x14ac:dyDescent="0.3">
      <c r="O238" s="1"/>
    </row>
    <row r="239" spans="15:15" x14ac:dyDescent="0.3">
      <c r="O239" s="1"/>
    </row>
    <row r="240" spans="15:15" x14ac:dyDescent="0.3">
      <c r="O240" s="1"/>
    </row>
    <row r="243" spans="15:15" x14ac:dyDescent="0.3">
      <c r="O243" s="1"/>
    </row>
    <row r="245" spans="15:15" x14ac:dyDescent="0.3">
      <c r="O245" s="1"/>
    </row>
    <row r="249" spans="15:15" x14ac:dyDescent="0.3">
      <c r="O249" s="1"/>
    </row>
    <row r="250" spans="15:15" x14ac:dyDescent="0.3">
      <c r="O250" s="1"/>
    </row>
    <row r="252" spans="15:15" x14ac:dyDescent="0.3">
      <c r="O252" s="1"/>
    </row>
    <row r="262" spans="3:15" x14ac:dyDescent="0.3">
      <c r="C262" s="1"/>
      <c r="D262" s="1"/>
      <c r="E262" s="1"/>
      <c r="F262" s="1"/>
      <c r="G262" s="1"/>
      <c r="H262" s="1"/>
      <c r="I262" s="1"/>
      <c r="O262" s="1"/>
    </row>
  </sheetData>
  <pageMargins left="0.7" right="0.7" top="0.75" bottom="0.75" header="0.3" footer="0.3"/>
  <ignoredErrors>
    <ignoredError sqref="P3:Q8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75DD-F295-4C08-BC79-95A258740F1F}">
  <sheetPr>
    <tabColor rgb="FF002060"/>
  </sheetPr>
  <dimension ref="A1:Q262"/>
  <sheetViews>
    <sheetView tabSelected="1" workbookViewId="0">
      <selection activeCell="R21" sqref="R21"/>
    </sheetView>
  </sheetViews>
  <sheetFormatPr defaultRowHeight="14.4" x14ac:dyDescent="0.3"/>
  <sheetData>
    <row r="1" spans="1:17" x14ac:dyDescent="0.3">
      <c r="A1" t="s">
        <v>104</v>
      </c>
    </row>
    <row r="2" spans="1:17" x14ac:dyDescent="0.3"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P2" t="s">
        <v>105</v>
      </c>
      <c r="Q2" t="s">
        <v>106</v>
      </c>
    </row>
    <row r="3" spans="1:17" x14ac:dyDescent="0.3">
      <c r="B3" t="s">
        <v>0</v>
      </c>
      <c r="C3">
        <v>100</v>
      </c>
      <c r="D3">
        <v>97.92</v>
      </c>
      <c r="E3">
        <v>100</v>
      </c>
      <c r="F3">
        <v>97.67</v>
      </c>
      <c r="G3">
        <v>94</v>
      </c>
      <c r="H3">
        <v>100</v>
      </c>
      <c r="I3">
        <v>98.08</v>
      </c>
      <c r="J3">
        <v>100</v>
      </c>
      <c r="O3">
        <v>98.17</v>
      </c>
      <c r="P3">
        <f>COUNTIF(C3:I3,"&gt;=94.79")</f>
        <v>6</v>
      </c>
      <c r="Q3">
        <f>COUNTIF(C3:I3,"&lt;94.79")</f>
        <v>1</v>
      </c>
    </row>
    <row r="4" spans="1:17" x14ac:dyDescent="0.3">
      <c r="B4" t="s">
        <v>1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O4">
        <v>100</v>
      </c>
      <c r="P4">
        <f t="shared" ref="P4:P67" si="0">COUNTIF(C4:I4,"&gt;=94.79")</f>
        <v>7</v>
      </c>
      <c r="Q4">
        <f t="shared" ref="Q4:Q67" si="1">COUNTIF(C4:I4,"&lt;94.79")</f>
        <v>0</v>
      </c>
    </row>
    <row r="5" spans="1:17" x14ac:dyDescent="0.3">
      <c r="B5" t="s">
        <v>2</v>
      </c>
      <c r="C5">
        <v>99.17</v>
      </c>
      <c r="D5">
        <v>100</v>
      </c>
      <c r="E5">
        <v>100</v>
      </c>
      <c r="F5">
        <v>100</v>
      </c>
      <c r="G5">
        <v>99.02</v>
      </c>
      <c r="H5">
        <v>100</v>
      </c>
      <c r="I5">
        <v>100</v>
      </c>
      <c r="J5">
        <v>100</v>
      </c>
      <c r="O5">
        <v>99.73</v>
      </c>
      <c r="P5">
        <f t="shared" si="0"/>
        <v>7</v>
      </c>
      <c r="Q5">
        <f t="shared" si="1"/>
        <v>0</v>
      </c>
    </row>
    <row r="6" spans="1:17" x14ac:dyDescent="0.3">
      <c r="B6" t="s">
        <v>3</v>
      </c>
      <c r="C6">
        <v>100</v>
      </c>
      <c r="D6">
        <v>100</v>
      </c>
      <c r="E6">
        <v>66.67</v>
      </c>
      <c r="F6">
        <v>85.71</v>
      </c>
      <c r="G6">
        <v>80</v>
      </c>
      <c r="H6">
        <v>50</v>
      </c>
      <c r="I6">
        <v>50</v>
      </c>
      <c r="J6">
        <v>100</v>
      </c>
      <c r="O6">
        <v>79.17</v>
      </c>
      <c r="P6">
        <f t="shared" si="0"/>
        <v>2</v>
      </c>
      <c r="Q6">
        <f t="shared" si="1"/>
        <v>5</v>
      </c>
    </row>
    <row r="7" spans="1:17" x14ac:dyDescent="0.3">
      <c r="B7" t="s">
        <v>4</v>
      </c>
      <c r="C7">
        <v>95.56</v>
      </c>
      <c r="D7">
        <v>97.92</v>
      </c>
      <c r="E7">
        <v>98.04</v>
      </c>
      <c r="F7">
        <v>96.43</v>
      </c>
      <c r="G7">
        <v>95.12</v>
      </c>
      <c r="H7">
        <v>100</v>
      </c>
      <c r="I7">
        <v>97.73</v>
      </c>
      <c r="J7">
        <v>100</v>
      </c>
      <c r="O7">
        <v>97.18</v>
      </c>
      <c r="P7">
        <f t="shared" si="0"/>
        <v>7</v>
      </c>
      <c r="Q7">
        <f t="shared" si="1"/>
        <v>0</v>
      </c>
    </row>
    <row r="8" spans="1:17" x14ac:dyDescent="0.3">
      <c r="B8" t="s">
        <v>5</v>
      </c>
      <c r="C8">
        <v>95.07</v>
      </c>
      <c r="D8">
        <v>96.46</v>
      </c>
      <c r="E8">
        <v>100</v>
      </c>
      <c r="F8">
        <v>97.54</v>
      </c>
      <c r="G8">
        <v>96.46</v>
      </c>
      <c r="H8">
        <v>100</v>
      </c>
      <c r="I8">
        <v>98.89</v>
      </c>
      <c r="J8">
        <v>100</v>
      </c>
      <c r="O8">
        <v>97.58</v>
      </c>
      <c r="P8">
        <f t="shared" si="0"/>
        <v>7</v>
      </c>
      <c r="Q8">
        <f t="shared" si="1"/>
        <v>0</v>
      </c>
    </row>
    <row r="9" spans="1:17" x14ac:dyDescent="0.3">
      <c r="B9" t="s">
        <v>6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O9">
        <v>100</v>
      </c>
      <c r="P9">
        <f t="shared" si="0"/>
        <v>7</v>
      </c>
      <c r="Q9">
        <f t="shared" si="1"/>
        <v>0</v>
      </c>
    </row>
    <row r="10" spans="1:17" x14ac:dyDescent="0.3">
      <c r="B10" t="s">
        <v>7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O10">
        <v>100</v>
      </c>
      <c r="P10">
        <f t="shared" si="0"/>
        <v>7</v>
      </c>
      <c r="Q10">
        <f t="shared" si="1"/>
        <v>0</v>
      </c>
    </row>
    <row r="11" spans="1:17" x14ac:dyDescent="0.3">
      <c r="B11" t="s">
        <v>8</v>
      </c>
      <c r="C11">
        <v>100</v>
      </c>
      <c r="D11">
        <v>95.65</v>
      </c>
      <c r="E11">
        <v>100</v>
      </c>
      <c r="F11">
        <v>100</v>
      </c>
      <c r="G11">
        <v>100</v>
      </c>
      <c r="H11">
        <v>94.12</v>
      </c>
      <c r="I11">
        <v>95.83</v>
      </c>
      <c r="J11">
        <v>100</v>
      </c>
      <c r="O11">
        <v>97.93</v>
      </c>
      <c r="P11">
        <f t="shared" si="0"/>
        <v>6</v>
      </c>
      <c r="Q11">
        <f t="shared" si="1"/>
        <v>1</v>
      </c>
    </row>
    <row r="12" spans="1:17" x14ac:dyDescent="0.3">
      <c r="B12" t="s">
        <v>9</v>
      </c>
      <c r="C12">
        <v>100</v>
      </c>
      <c r="D12">
        <v>100</v>
      </c>
      <c r="E12">
        <v>100</v>
      </c>
      <c r="F12">
        <v>0</v>
      </c>
      <c r="G12">
        <v>100</v>
      </c>
      <c r="H12">
        <v>100</v>
      </c>
      <c r="I12">
        <v>100</v>
      </c>
      <c r="J12">
        <v>100</v>
      </c>
      <c r="O12">
        <v>88.89</v>
      </c>
      <c r="P12">
        <f t="shared" si="0"/>
        <v>6</v>
      </c>
      <c r="Q12">
        <f t="shared" si="1"/>
        <v>1</v>
      </c>
    </row>
    <row r="13" spans="1:17" x14ac:dyDescent="0.3">
      <c r="B13" t="s">
        <v>10</v>
      </c>
      <c r="C13">
        <v>97.73</v>
      </c>
      <c r="D13">
        <v>98.43</v>
      </c>
      <c r="E13">
        <v>97.39</v>
      </c>
      <c r="F13">
        <v>96.03</v>
      </c>
      <c r="G13">
        <v>99.06</v>
      </c>
      <c r="H13">
        <v>97.7</v>
      </c>
      <c r="I13">
        <v>100</v>
      </c>
      <c r="J13">
        <v>100</v>
      </c>
      <c r="O13">
        <v>98.03</v>
      </c>
      <c r="P13">
        <f t="shared" si="0"/>
        <v>7</v>
      </c>
      <c r="Q13">
        <f t="shared" si="1"/>
        <v>0</v>
      </c>
    </row>
    <row r="14" spans="1:17" x14ac:dyDescent="0.3">
      <c r="B14" t="s">
        <v>11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O14">
        <v>100</v>
      </c>
      <c r="P14">
        <f t="shared" si="0"/>
        <v>7</v>
      </c>
      <c r="Q14">
        <f t="shared" si="1"/>
        <v>0</v>
      </c>
    </row>
    <row r="15" spans="1:17" x14ac:dyDescent="0.3">
      <c r="B15" t="s">
        <v>12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O15">
        <v>100</v>
      </c>
      <c r="P15">
        <f t="shared" si="0"/>
        <v>7</v>
      </c>
      <c r="Q15">
        <f t="shared" si="1"/>
        <v>0</v>
      </c>
    </row>
    <row r="16" spans="1:17" x14ac:dyDescent="0.3">
      <c r="B16" t="s">
        <v>13</v>
      </c>
      <c r="C16">
        <v>97.06</v>
      </c>
      <c r="D16">
        <v>100</v>
      </c>
      <c r="E16">
        <v>91.67</v>
      </c>
      <c r="F16">
        <v>91.67</v>
      </c>
      <c r="G16">
        <v>94.12</v>
      </c>
      <c r="H16">
        <v>100</v>
      </c>
      <c r="I16">
        <v>100</v>
      </c>
      <c r="J16">
        <v>100</v>
      </c>
      <c r="O16">
        <v>95.42</v>
      </c>
      <c r="P16">
        <f t="shared" si="0"/>
        <v>4</v>
      </c>
      <c r="Q16">
        <f t="shared" si="1"/>
        <v>3</v>
      </c>
    </row>
    <row r="17" spans="2:17" x14ac:dyDescent="0.3">
      <c r="B17" t="s">
        <v>14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O17">
        <v>100</v>
      </c>
      <c r="P17">
        <f t="shared" si="0"/>
        <v>7</v>
      </c>
      <c r="Q17">
        <f t="shared" si="1"/>
        <v>0</v>
      </c>
    </row>
    <row r="18" spans="2:17" x14ac:dyDescent="0.3">
      <c r="B18" t="s">
        <v>15</v>
      </c>
      <c r="C18">
        <v>98.65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O18">
        <v>99.7</v>
      </c>
      <c r="P18">
        <f t="shared" si="0"/>
        <v>7</v>
      </c>
      <c r="Q18">
        <f t="shared" si="1"/>
        <v>0</v>
      </c>
    </row>
    <row r="19" spans="2:17" x14ac:dyDescent="0.3">
      <c r="B19" t="s">
        <v>16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O19">
        <v>100</v>
      </c>
      <c r="P19">
        <f t="shared" si="0"/>
        <v>7</v>
      </c>
      <c r="Q19">
        <f t="shared" si="1"/>
        <v>0</v>
      </c>
    </row>
    <row r="20" spans="2:17" x14ac:dyDescent="0.3">
      <c r="B20" t="s">
        <v>17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O20">
        <v>100</v>
      </c>
      <c r="P20">
        <f t="shared" si="0"/>
        <v>7</v>
      </c>
      <c r="Q20">
        <f t="shared" si="1"/>
        <v>0</v>
      </c>
    </row>
    <row r="21" spans="2:17" x14ac:dyDescent="0.3">
      <c r="B21" t="s">
        <v>18</v>
      </c>
      <c r="C21">
        <v>100</v>
      </c>
      <c r="D21">
        <v>100</v>
      </c>
      <c r="E21">
        <v>85.71</v>
      </c>
      <c r="F21">
        <v>88.89</v>
      </c>
      <c r="G21">
        <v>77.78</v>
      </c>
      <c r="H21">
        <v>100</v>
      </c>
      <c r="I21">
        <v>100</v>
      </c>
      <c r="J21">
        <v>100</v>
      </c>
      <c r="O21">
        <v>91.3</v>
      </c>
      <c r="P21">
        <f t="shared" si="0"/>
        <v>4</v>
      </c>
      <c r="Q21">
        <f t="shared" si="1"/>
        <v>3</v>
      </c>
    </row>
    <row r="22" spans="2:17" x14ac:dyDescent="0.3">
      <c r="B22" t="s">
        <v>19</v>
      </c>
      <c r="C22">
        <v>96.43</v>
      </c>
      <c r="D22">
        <v>96.77</v>
      </c>
      <c r="E22">
        <v>100</v>
      </c>
      <c r="F22">
        <v>97.3</v>
      </c>
      <c r="G22">
        <v>100</v>
      </c>
      <c r="H22">
        <v>100</v>
      </c>
      <c r="I22">
        <v>100</v>
      </c>
      <c r="J22">
        <v>100</v>
      </c>
      <c r="O22">
        <v>98.69</v>
      </c>
      <c r="P22">
        <f t="shared" si="0"/>
        <v>7</v>
      </c>
      <c r="Q22">
        <f t="shared" si="1"/>
        <v>0</v>
      </c>
    </row>
    <row r="23" spans="2:17" x14ac:dyDescent="0.3">
      <c r="B23" t="s">
        <v>20</v>
      </c>
      <c r="C23">
        <v>100</v>
      </c>
      <c r="D23">
        <v>100</v>
      </c>
      <c r="E23">
        <v>100</v>
      </c>
      <c r="F23">
        <v>60</v>
      </c>
      <c r="G23">
        <v>100</v>
      </c>
      <c r="H23">
        <v>100</v>
      </c>
      <c r="I23">
        <v>100</v>
      </c>
      <c r="J23">
        <v>100</v>
      </c>
      <c r="O23">
        <v>85.71</v>
      </c>
      <c r="P23">
        <f t="shared" si="0"/>
        <v>6</v>
      </c>
      <c r="Q23">
        <f t="shared" si="1"/>
        <v>1</v>
      </c>
    </row>
    <row r="24" spans="2:17" x14ac:dyDescent="0.3">
      <c r="B24" t="s">
        <v>21</v>
      </c>
      <c r="C24">
        <v>96.88</v>
      </c>
      <c r="D24">
        <v>97.47</v>
      </c>
      <c r="E24">
        <v>98.73</v>
      </c>
      <c r="F24">
        <v>95.37</v>
      </c>
      <c r="G24">
        <v>96</v>
      </c>
      <c r="H24">
        <v>98.68</v>
      </c>
      <c r="I24">
        <v>98.65</v>
      </c>
      <c r="J24">
        <v>100</v>
      </c>
      <c r="O24">
        <v>97.32</v>
      </c>
      <c r="P24">
        <f t="shared" si="0"/>
        <v>7</v>
      </c>
      <c r="Q24">
        <f t="shared" si="1"/>
        <v>0</v>
      </c>
    </row>
    <row r="25" spans="2:17" x14ac:dyDescent="0.3">
      <c r="B25" t="s">
        <v>22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O25">
        <v>100</v>
      </c>
      <c r="P25">
        <f t="shared" si="0"/>
        <v>7</v>
      </c>
      <c r="Q25">
        <f t="shared" si="1"/>
        <v>0</v>
      </c>
    </row>
    <row r="26" spans="2:17" x14ac:dyDescent="0.3">
      <c r="B26" t="s">
        <v>23</v>
      </c>
      <c r="C26">
        <v>100</v>
      </c>
      <c r="D26">
        <v>96.43</v>
      </c>
      <c r="E26">
        <v>100</v>
      </c>
      <c r="F26">
        <v>100</v>
      </c>
      <c r="G26">
        <v>93.75</v>
      </c>
      <c r="H26">
        <v>100</v>
      </c>
      <c r="I26">
        <v>97.5</v>
      </c>
      <c r="J26">
        <v>100</v>
      </c>
      <c r="O26">
        <v>98.32</v>
      </c>
      <c r="P26">
        <f t="shared" si="0"/>
        <v>6</v>
      </c>
      <c r="Q26">
        <f t="shared" si="1"/>
        <v>1</v>
      </c>
    </row>
    <row r="27" spans="2:17" x14ac:dyDescent="0.3">
      <c r="B27" t="s">
        <v>24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O27">
        <v>100</v>
      </c>
      <c r="P27">
        <f t="shared" si="0"/>
        <v>7</v>
      </c>
      <c r="Q27">
        <f t="shared" si="1"/>
        <v>0</v>
      </c>
    </row>
    <row r="28" spans="2:17" x14ac:dyDescent="0.3">
      <c r="B28" t="s">
        <v>25</v>
      </c>
      <c r="C28">
        <v>100</v>
      </c>
      <c r="D28">
        <v>100</v>
      </c>
      <c r="E28">
        <v>100</v>
      </c>
      <c r="F28">
        <v>100</v>
      </c>
      <c r="G28">
        <v>92.86</v>
      </c>
      <c r="H28">
        <v>95.24</v>
      </c>
      <c r="I28">
        <v>100</v>
      </c>
      <c r="J28">
        <v>100</v>
      </c>
      <c r="O28">
        <v>98.13</v>
      </c>
      <c r="P28">
        <f t="shared" si="0"/>
        <v>6</v>
      </c>
      <c r="Q28">
        <f t="shared" si="1"/>
        <v>1</v>
      </c>
    </row>
    <row r="29" spans="2:17" x14ac:dyDescent="0.3">
      <c r="B29" t="s">
        <v>26</v>
      </c>
      <c r="C29">
        <v>91.3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O29">
        <v>97.83</v>
      </c>
      <c r="P29">
        <f t="shared" si="0"/>
        <v>6</v>
      </c>
      <c r="Q29">
        <f t="shared" si="1"/>
        <v>1</v>
      </c>
    </row>
    <row r="30" spans="2:17" x14ac:dyDescent="0.3">
      <c r="B30" t="s">
        <v>27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85.71</v>
      </c>
      <c r="J30">
        <v>100</v>
      </c>
      <c r="O30">
        <v>97.22</v>
      </c>
      <c r="P30">
        <f t="shared" si="0"/>
        <v>6</v>
      </c>
      <c r="Q30">
        <f t="shared" si="1"/>
        <v>1</v>
      </c>
    </row>
    <row r="31" spans="2:17" x14ac:dyDescent="0.3">
      <c r="B31" t="s">
        <v>28</v>
      </c>
      <c r="C31">
        <v>100</v>
      </c>
      <c r="D31">
        <v>100</v>
      </c>
      <c r="E31">
        <v>100</v>
      </c>
      <c r="F31">
        <v>100</v>
      </c>
      <c r="G31">
        <v>80.849999999999994</v>
      </c>
      <c r="H31">
        <v>100</v>
      </c>
      <c r="I31">
        <v>100</v>
      </c>
      <c r="J31">
        <v>100</v>
      </c>
      <c r="O31">
        <v>96.43</v>
      </c>
      <c r="P31">
        <f t="shared" si="0"/>
        <v>6</v>
      </c>
      <c r="Q31">
        <f t="shared" si="1"/>
        <v>1</v>
      </c>
    </row>
    <row r="32" spans="2:17" x14ac:dyDescent="0.3">
      <c r="B32" t="s">
        <v>29</v>
      </c>
      <c r="C32">
        <v>100</v>
      </c>
      <c r="D32">
        <v>96.55</v>
      </c>
      <c r="E32">
        <v>91.18</v>
      </c>
      <c r="F32">
        <v>96.88</v>
      </c>
      <c r="G32">
        <v>95.83</v>
      </c>
      <c r="H32">
        <v>96.55</v>
      </c>
      <c r="I32">
        <v>100</v>
      </c>
      <c r="J32">
        <v>100</v>
      </c>
      <c r="O32">
        <v>96.71</v>
      </c>
      <c r="P32">
        <f t="shared" si="0"/>
        <v>6</v>
      </c>
      <c r="Q32">
        <f t="shared" si="1"/>
        <v>1</v>
      </c>
    </row>
    <row r="33" spans="2:17" x14ac:dyDescent="0.3">
      <c r="B33" t="s">
        <v>30</v>
      </c>
      <c r="C33">
        <v>100</v>
      </c>
      <c r="D33">
        <v>100</v>
      </c>
      <c r="E33">
        <v>96.55</v>
      </c>
      <c r="F33">
        <v>100</v>
      </c>
      <c r="G33">
        <v>96.77</v>
      </c>
      <c r="H33">
        <v>100</v>
      </c>
      <c r="I33">
        <v>100</v>
      </c>
      <c r="J33">
        <v>100</v>
      </c>
      <c r="O33">
        <v>99.23</v>
      </c>
      <c r="P33">
        <f t="shared" si="0"/>
        <v>7</v>
      </c>
      <c r="Q33">
        <f t="shared" si="1"/>
        <v>0</v>
      </c>
    </row>
    <row r="34" spans="2:17" x14ac:dyDescent="0.3">
      <c r="B34" t="s">
        <v>31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83.33</v>
      </c>
      <c r="I34">
        <v>100</v>
      </c>
      <c r="J34">
        <v>100</v>
      </c>
      <c r="O34">
        <v>98.31</v>
      </c>
      <c r="P34">
        <f t="shared" si="0"/>
        <v>6</v>
      </c>
      <c r="Q34">
        <f t="shared" si="1"/>
        <v>1</v>
      </c>
    </row>
    <row r="35" spans="2:17" x14ac:dyDescent="0.3">
      <c r="B35" t="s">
        <v>32</v>
      </c>
      <c r="C35">
        <v>100</v>
      </c>
      <c r="D35">
        <v>100</v>
      </c>
      <c r="E35">
        <v>95</v>
      </c>
      <c r="F35">
        <v>100</v>
      </c>
      <c r="G35">
        <v>100</v>
      </c>
      <c r="H35">
        <v>100</v>
      </c>
      <c r="I35">
        <v>100</v>
      </c>
      <c r="J35">
        <v>100</v>
      </c>
      <c r="O35">
        <v>99.33</v>
      </c>
      <c r="P35">
        <f t="shared" si="0"/>
        <v>7</v>
      </c>
      <c r="Q35">
        <f t="shared" si="1"/>
        <v>0</v>
      </c>
    </row>
    <row r="36" spans="2:17" x14ac:dyDescent="0.3">
      <c r="B36" t="s">
        <v>33</v>
      </c>
      <c r="C36" t="s">
        <v>34</v>
      </c>
      <c r="D36">
        <v>100</v>
      </c>
      <c r="E36">
        <v>100</v>
      </c>
      <c r="F36">
        <v>100</v>
      </c>
      <c r="G36">
        <v>0</v>
      </c>
      <c r="H36">
        <v>100</v>
      </c>
      <c r="I36">
        <v>100</v>
      </c>
      <c r="J36">
        <v>100</v>
      </c>
      <c r="O36">
        <v>0</v>
      </c>
      <c r="P36">
        <f t="shared" si="0"/>
        <v>5</v>
      </c>
      <c r="Q36">
        <f t="shared" si="1"/>
        <v>1</v>
      </c>
    </row>
    <row r="37" spans="2:17" x14ac:dyDescent="0.3">
      <c r="B37" t="s">
        <v>35</v>
      </c>
      <c r="C37">
        <v>96.51</v>
      </c>
      <c r="D37">
        <v>100</v>
      </c>
      <c r="E37">
        <v>98.5</v>
      </c>
      <c r="F37">
        <v>97.77</v>
      </c>
      <c r="G37">
        <v>94</v>
      </c>
      <c r="H37">
        <v>100</v>
      </c>
      <c r="I37">
        <v>99.24</v>
      </c>
      <c r="J37">
        <v>100</v>
      </c>
      <c r="O37">
        <v>97.87</v>
      </c>
      <c r="P37">
        <f t="shared" si="0"/>
        <v>6</v>
      </c>
      <c r="Q37">
        <f t="shared" si="1"/>
        <v>1</v>
      </c>
    </row>
    <row r="38" spans="2:17" x14ac:dyDescent="0.3">
      <c r="B38" t="s">
        <v>36</v>
      </c>
      <c r="C38">
        <v>100</v>
      </c>
      <c r="D38">
        <v>90.91</v>
      </c>
      <c r="E38">
        <v>100</v>
      </c>
      <c r="F38">
        <v>98</v>
      </c>
      <c r="G38">
        <v>91.84</v>
      </c>
      <c r="H38">
        <v>97.14</v>
      </c>
      <c r="I38">
        <v>100</v>
      </c>
      <c r="J38">
        <v>100</v>
      </c>
      <c r="O38">
        <v>96.98</v>
      </c>
      <c r="P38">
        <f t="shared" si="0"/>
        <v>5</v>
      </c>
      <c r="Q38">
        <f t="shared" si="1"/>
        <v>2</v>
      </c>
    </row>
    <row r="39" spans="2:17" x14ac:dyDescent="0.3">
      <c r="B39" t="s">
        <v>37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0</v>
      </c>
      <c r="J39">
        <v>100</v>
      </c>
      <c r="O39">
        <v>66.67</v>
      </c>
      <c r="P39">
        <f t="shared" si="0"/>
        <v>6</v>
      </c>
      <c r="Q39">
        <f t="shared" si="1"/>
        <v>1</v>
      </c>
    </row>
    <row r="40" spans="2:17" x14ac:dyDescent="0.3">
      <c r="B40" t="s">
        <v>38</v>
      </c>
      <c r="C40">
        <v>100</v>
      </c>
      <c r="D40">
        <v>85.71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O40">
        <v>98.67</v>
      </c>
      <c r="P40">
        <f t="shared" si="0"/>
        <v>6</v>
      </c>
      <c r="Q40">
        <f t="shared" si="1"/>
        <v>1</v>
      </c>
    </row>
    <row r="41" spans="2:17" x14ac:dyDescent="0.3">
      <c r="B41" t="s">
        <v>39</v>
      </c>
      <c r="C41">
        <v>100</v>
      </c>
      <c r="D41">
        <v>86.67</v>
      </c>
      <c r="E41">
        <v>100</v>
      </c>
      <c r="F41">
        <v>96.43</v>
      </c>
      <c r="G41">
        <v>95.65</v>
      </c>
      <c r="H41">
        <v>100</v>
      </c>
      <c r="I41">
        <v>100</v>
      </c>
      <c r="J41">
        <v>100</v>
      </c>
      <c r="O41">
        <v>97.16</v>
      </c>
      <c r="P41">
        <f t="shared" si="0"/>
        <v>6</v>
      </c>
      <c r="Q41">
        <f t="shared" si="1"/>
        <v>1</v>
      </c>
    </row>
    <row r="42" spans="2:17" x14ac:dyDescent="0.3">
      <c r="B42" t="s">
        <v>40</v>
      </c>
      <c r="C42">
        <v>100</v>
      </c>
      <c r="D42">
        <v>100</v>
      </c>
      <c r="E42">
        <v>87.5</v>
      </c>
      <c r="F42">
        <v>100</v>
      </c>
      <c r="G42">
        <v>100</v>
      </c>
      <c r="H42">
        <v>97.44</v>
      </c>
      <c r="I42">
        <v>100</v>
      </c>
      <c r="J42">
        <v>100</v>
      </c>
      <c r="O42">
        <v>98.39</v>
      </c>
      <c r="P42">
        <f t="shared" si="0"/>
        <v>6</v>
      </c>
      <c r="Q42">
        <f t="shared" si="1"/>
        <v>1</v>
      </c>
    </row>
    <row r="43" spans="2:17" x14ac:dyDescent="0.3">
      <c r="B43" t="s">
        <v>41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O43">
        <v>100</v>
      </c>
      <c r="P43">
        <f t="shared" si="0"/>
        <v>7</v>
      </c>
      <c r="Q43">
        <f t="shared" si="1"/>
        <v>0</v>
      </c>
    </row>
    <row r="44" spans="2:17" x14ac:dyDescent="0.3">
      <c r="B44" t="s">
        <v>42</v>
      </c>
      <c r="C44">
        <v>100</v>
      </c>
      <c r="D44">
        <v>100</v>
      </c>
      <c r="E44">
        <v>100</v>
      </c>
      <c r="F44">
        <v>83.33</v>
      </c>
      <c r="G44">
        <v>100</v>
      </c>
      <c r="H44">
        <v>55.56</v>
      </c>
      <c r="I44">
        <v>100</v>
      </c>
      <c r="J44">
        <v>100</v>
      </c>
      <c r="O44">
        <v>89.83</v>
      </c>
      <c r="P44">
        <f t="shared" si="0"/>
        <v>5</v>
      </c>
      <c r="Q44">
        <f t="shared" si="1"/>
        <v>2</v>
      </c>
    </row>
    <row r="45" spans="2:17" x14ac:dyDescent="0.3">
      <c r="B45" t="s">
        <v>43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O45">
        <v>100</v>
      </c>
      <c r="P45">
        <f t="shared" si="0"/>
        <v>7</v>
      </c>
      <c r="Q45">
        <f t="shared" si="1"/>
        <v>0</v>
      </c>
    </row>
    <row r="46" spans="2:17" x14ac:dyDescent="0.3">
      <c r="B46" t="s">
        <v>44</v>
      </c>
      <c r="C46">
        <v>100</v>
      </c>
      <c r="D46">
        <v>100</v>
      </c>
      <c r="E46">
        <v>100</v>
      </c>
      <c r="F46">
        <v>50</v>
      </c>
      <c r="G46">
        <v>100</v>
      </c>
      <c r="H46">
        <v>100</v>
      </c>
      <c r="I46">
        <v>100</v>
      </c>
      <c r="J46">
        <v>100</v>
      </c>
      <c r="O46">
        <v>95.45</v>
      </c>
      <c r="P46">
        <f t="shared" si="0"/>
        <v>6</v>
      </c>
      <c r="Q46">
        <f t="shared" si="1"/>
        <v>1</v>
      </c>
    </row>
    <row r="47" spans="2:17" x14ac:dyDescent="0.3">
      <c r="B47" t="s">
        <v>45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O47">
        <v>100</v>
      </c>
      <c r="P47">
        <f t="shared" si="0"/>
        <v>7</v>
      </c>
      <c r="Q47">
        <f t="shared" si="1"/>
        <v>0</v>
      </c>
    </row>
    <row r="48" spans="2:17" x14ac:dyDescent="0.3">
      <c r="B48" t="s">
        <v>46</v>
      </c>
      <c r="C48">
        <v>98.89</v>
      </c>
      <c r="D48">
        <v>100</v>
      </c>
      <c r="E48">
        <v>100</v>
      </c>
      <c r="F48">
        <v>100</v>
      </c>
      <c r="G48">
        <v>98.67</v>
      </c>
      <c r="H48">
        <v>100</v>
      </c>
      <c r="I48">
        <v>100</v>
      </c>
      <c r="J48">
        <v>100</v>
      </c>
      <c r="O48">
        <v>99.63</v>
      </c>
      <c r="P48">
        <f t="shared" si="0"/>
        <v>7</v>
      </c>
      <c r="Q48">
        <f t="shared" si="1"/>
        <v>0</v>
      </c>
    </row>
    <row r="49" spans="2:17" x14ac:dyDescent="0.3">
      <c r="B49" t="s">
        <v>47</v>
      </c>
      <c r="C49">
        <v>97.67</v>
      </c>
      <c r="D49">
        <v>91.18</v>
      </c>
      <c r="E49">
        <v>100</v>
      </c>
      <c r="F49">
        <v>96.77</v>
      </c>
      <c r="G49">
        <v>100</v>
      </c>
      <c r="H49">
        <v>100</v>
      </c>
      <c r="I49">
        <v>100</v>
      </c>
      <c r="J49">
        <v>100</v>
      </c>
      <c r="O49">
        <v>97.9</v>
      </c>
      <c r="P49">
        <f t="shared" si="0"/>
        <v>6</v>
      </c>
      <c r="Q49">
        <f t="shared" si="1"/>
        <v>1</v>
      </c>
    </row>
    <row r="50" spans="2:17" x14ac:dyDescent="0.3">
      <c r="B50" t="s">
        <v>48</v>
      </c>
      <c r="C50">
        <v>100</v>
      </c>
      <c r="D50">
        <v>91.67</v>
      </c>
      <c r="E50">
        <v>80</v>
      </c>
      <c r="F50">
        <v>100</v>
      </c>
      <c r="G50">
        <v>100</v>
      </c>
      <c r="H50">
        <v>80</v>
      </c>
      <c r="I50">
        <v>100</v>
      </c>
      <c r="J50">
        <v>100</v>
      </c>
      <c r="O50">
        <v>93.02</v>
      </c>
      <c r="P50">
        <f t="shared" si="0"/>
        <v>4</v>
      </c>
      <c r="Q50">
        <f t="shared" si="1"/>
        <v>3</v>
      </c>
    </row>
    <row r="51" spans="2:17" x14ac:dyDescent="0.3">
      <c r="B51" t="s">
        <v>49</v>
      </c>
      <c r="C51">
        <v>98.8</v>
      </c>
      <c r="D51">
        <v>99.09</v>
      </c>
      <c r="E51">
        <v>98.37</v>
      </c>
      <c r="F51">
        <v>97.1</v>
      </c>
      <c r="G51">
        <v>98.51</v>
      </c>
      <c r="H51">
        <v>100</v>
      </c>
      <c r="I51">
        <v>99.19</v>
      </c>
      <c r="J51">
        <v>100</v>
      </c>
      <c r="O51">
        <v>98.71</v>
      </c>
      <c r="P51">
        <f t="shared" si="0"/>
        <v>7</v>
      </c>
      <c r="Q51">
        <f t="shared" si="1"/>
        <v>0</v>
      </c>
    </row>
    <row r="52" spans="2:17" x14ac:dyDescent="0.3">
      <c r="B52" t="s">
        <v>50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O52">
        <v>100</v>
      </c>
      <c r="P52">
        <f t="shared" si="0"/>
        <v>7</v>
      </c>
      <c r="Q52">
        <f t="shared" si="1"/>
        <v>0</v>
      </c>
    </row>
    <row r="53" spans="2:17" x14ac:dyDescent="0.3">
      <c r="B53" t="s">
        <v>51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O53">
        <v>100</v>
      </c>
      <c r="P53">
        <f t="shared" si="0"/>
        <v>7</v>
      </c>
      <c r="Q53">
        <f t="shared" si="1"/>
        <v>0</v>
      </c>
    </row>
    <row r="54" spans="2:17" x14ac:dyDescent="0.3">
      <c r="B54" t="s">
        <v>52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O54">
        <v>100</v>
      </c>
      <c r="P54">
        <f t="shared" si="0"/>
        <v>7</v>
      </c>
      <c r="Q54">
        <f t="shared" si="1"/>
        <v>0</v>
      </c>
    </row>
    <row r="55" spans="2:17" x14ac:dyDescent="0.3">
      <c r="B55" t="s">
        <v>53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O55">
        <v>100</v>
      </c>
      <c r="P55">
        <f t="shared" si="0"/>
        <v>7</v>
      </c>
      <c r="Q55">
        <f t="shared" si="1"/>
        <v>0</v>
      </c>
    </row>
    <row r="56" spans="2:17" x14ac:dyDescent="0.3">
      <c r="B56" t="s">
        <v>54</v>
      </c>
      <c r="C56">
        <v>95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O56">
        <v>99.32</v>
      </c>
      <c r="P56">
        <f t="shared" si="0"/>
        <v>7</v>
      </c>
      <c r="Q56">
        <f t="shared" si="1"/>
        <v>0</v>
      </c>
    </row>
    <row r="57" spans="2:17" x14ac:dyDescent="0.3">
      <c r="B57" t="s">
        <v>55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O57">
        <v>100</v>
      </c>
      <c r="P57">
        <f t="shared" si="0"/>
        <v>7</v>
      </c>
      <c r="Q57">
        <f t="shared" si="1"/>
        <v>0</v>
      </c>
    </row>
    <row r="58" spans="2:17" x14ac:dyDescent="0.3">
      <c r="B58" t="s">
        <v>56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O58">
        <v>100</v>
      </c>
      <c r="P58">
        <f t="shared" si="0"/>
        <v>7</v>
      </c>
      <c r="Q58">
        <f t="shared" si="1"/>
        <v>0</v>
      </c>
    </row>
    <row r="59" spans="2:17" x14ac:dyDescent="0.3">
      <c r="B59" t="s">
        <v>57</v>
      </c>
      <c r="C59">
        <v>100</v>
      </c>
      <c r="D59">
        <v>100</v>
      </c>
      <c r="E59">
        <v>95.45</v>
      </c>
      <c r="F59">
        <v>100</v>
      </c>
      <c r="G59">
        <v>100</v>
      </c>
      <c r="H59">
        <v>100</v>
      </c>
      <c r="I59">
        <v>100</v>
      </c>
      <c r="J59">
        <v>100</v>
      </c>
      <c r="O59">
        <v>99.35</v>
      </c>
      <c r="P59">
        <f t="shared" si="0"/>
        <v>7</v>
      </c>
      <c r="Q59">
        <f t="shared" si="1"/>
        <v>0</v>
      </c>
    </row>
    <row r="60" spans="2:17" x14ac:dyDescent="0.3">
      <c r="B60" t="s">
        <v>58</v>
      </c>
      <c r="C60">
        <v>95.24</v>
      </c>
      <c r="D60">
        <v>94.59</v>
      </c>
      <c r="E60">
        <v>97.06</v>
      </c>
      <c r="F60">
        <v>100</v>
      </c>
      <c r="G60">
        <v>81.25</v>
      </c>
      <c r="H60">
        <v>88</v>
      </c>
      <c r="I60">
        <v>100</v>
      </c>
      <c r="J60">
        <v>100</v>
      </c>
      <c r="O60">
        <v>93.22</v>
      </c>
      <c r="P60">
        <f t="shared" si="0"/>
        <v>4</v>
      </c>
      <c r="Q60">
        <f t="shared" si="1"/>
        <v>3</v>
      </c>
    </row>
    <row r="61" spans="2:17" x14ac:dyDescent="0.3">
      <c r="B61" t="s">
        <v>59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O61">
        <v>100</v>
      </c>
      <c r="P61">
        <f t="shared" si="0"/>
        <v>7</v>
      </c>
      <c r="Q61">
        <f t="shared" si="1"/>
        <v>0</v>
      </c>
    </row>
    <row r="62" spans="2:17" x14ac:dyDescent="0.3">
      <c r="B62" t="s">
        <v>60</v>
      </c>
      <c r="C62">
        <v>97.87</v>
      </c>
      <c r="D62">
        <v>100</v>
      </c>
      <c r="E62">
        <v>100</v>
      </c>
      <c r="F62">
        <v>100</v>
      </c>
      <c r="G62">
        <v>96.88</v>
      </c>
      <c r="H62">
        <v>100</v>
      </c>
      <c r="I62">
        <v>100</v>
      </c>
      <c r="J62">
        <v>100</v>
      </c>
      <c r="O62">
        <v>99.22</v>
      </c>
      <c r="P62">
        <f t="shared" si="0"/>
        <v>7</v>
      </c>
      <c r="Q62">
        <f t="shared" si="1"/>
        <v>0</v>
      </c>
    </row>
    <row r="63" spans="2:17" x14ac:dyDescent="0.3">
      <c r="B63" t="s">
        <v>61</v>
      </c>
      <c r="C63">
        <v>97.89</v>
      </c>
      <c r="D63">
        <v>100</v>
      </c>
      <c r="E63">
        <v>97.62</v>
      </c>
      <c r="F63">
        <v>100</v>
      </c>
      <c r="G63">
        <v>98.23</v>
      </c>
      <c r="H63">
        <v>100</v>
      </c>
      <c r="I63">
        <v>99.21</v>
      </c>
      <c r="J63">
        <v>100</v>
      </c>
      <c r="O63">
        <v>98.96</v>
      </c>
      <c r="P63">
        <f t="shared" si="0"/>
        <v>7</v>
      </c>
      <c r="Q63">
        <f t="shared" si="1"/>
        <v>0</v>
      </c>
    </row>
    <row r="64" spans="2:17" x14ac:dyDescent="0.3">
      <c r="B64" t="s">
        <v>62</v>
      </c>
      <c r="C64">
        <v>99.34</v>
      </c>
      <c r="D64">
        <v>99.1</v>
      </c>
      <c r="E64">
        <v>99.39</v>
      </c>
      <c r="F64">
        <v>99.2</v>
      </c>
      <c r="G64">
        <v>100</v>
      </c>
      <c r="H64">
        <v>100</v>
      </c>
      <c r="I64">
        <v>100</v>
      </c>
      <c r="J64">
        <v>100</v>
      </c>
      <c r="O64">
        <v>99.45</v>
      </c>
      <c r="P64">
        <f t="shared" si="0"/>
        <v>7</v>
      </c>
      <c r="Q64">
        <f t="shared" si="1"/>
        <v>0</v>
      </c>
    </row>
    <row r="65" spans="2:17" x14ac:dyDescent="0.3">
      <c r="B65" t="s">
        <v>63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O65">
        <v>100</v>
      </c>
      <c r="P65">
        <f t="shared" si="0"/>
        <v>7</v>
      </c>
      <c r="Q65">
        <f t="shared" si="1"/>
        <v>0</v>
      </c>
    </row>
    <row r="66" spans="2:17" x14ac:dyDescent="0.3">
      <c r="B66" t="s">
        <v>64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91.67</v>
      </c>
      <c r="I66">
        <v>100</v>
      </c>
      <c r="J66">
        <v>100</v>
      </c>
      <c r="O66">
        <v>98.41</v>
      </c>
      <c r="P66">
        <f t="shared" si="0"/>
        <v>6</v>
      </c>
      <c r="Q66">
        <f t="shared" si="1"/>
        <v>1</v>
      </c>
    </row>
    <row r="67" spans="2:17" x14ac:dyDescent="0.3">
      <c r="B67" t="s">
        <v>65</v>
      </c>
      <c r="C67">
        <v>100</v>
      </c>
      <c r="D67">
        <v>100</v>
      </c>
      <c r="E67">
        <v>100</v>
      </c>
      <c r="F67">
        <v>92.5</v>
      </c>
      <c r="G67">
        <v>85.94</v>
      </c>
      <c r="H67">
        <v>94.74</v>
      </c>
      <c r="I67">
        <v>94.23</v>
      </c>
      <c r="J67">
        <v>100</v>
      </c>
      <c r="O67">
        <v>93.91</v>
      </c>
      <c r="P67">
        <f t="shared" si="0"/>
        <v>3</v>
      </c>
      <c r="Q67">
        <f t="shared" si="1"/>
        <v>4</v>
      </c>
    </row>
    <row r="68" spans="2:17" x14ac:dyDescent="0.3">
      <c r="B68" t="s">
        <v>66</v>
      </c>
      <c r="C68">
        <v>100</v>
      </c>
      <c r="D68">
        <v>97.14</v>
      </c>
      <c r="E68">
        <v>96.55</v>
      </c>
      <c r="F68">
        <v>100</v>
      </c>
      <c r="G68">
        <v>100</v>
      </c>
      <c r="H68">
        <v>96.55</v>
      </c>
      <c r="I68">
        <v>100</v>
      </c>
      <c r="J68">
        <v>100</v>
      </c>
      <c r="O68">
        <v>98.34</v>
      </c>
      <c r="P68">
        <f t="shared" ref="P68:P86" si="2">COUNTIF(C68:I68,"&gt;=94.79")</f>
        <v>7</v>
      </c>
      <c r="Q68">
        <f t="shared" ref="Q68:Q86" si="3">COUNTIF(C68:I68,"&lt;94.79")</f>
        <v>0</v>
      </c>
    </row>
    <row r="69" spans="2:17" x14ac:dyDescent="0.3">
      <c r="B69" t="s">
        <v>67</v>
      </c>
      <c r="C69">
        <v>97.92</v>
      </c>
      <c r="D69">
        <v>100</v>
      </c>
      <c r="E69">
        <v>97.06</v>
      </c>
      <c r="F69">
        <v>100</v>
      </c>
      <c r="G69">
        <v>98.21</v>
      </c>
      <c r="H69">
        <v>100</v>
      </c>
      <c r="I69">
        <v>100</v>
      </c>
      <c r="J69">
        <v>100</v>
      </c>
      <c r="O69">
        <v>99.06</v>
      </c>
      <c r="P69">
        <f t="shared" si="2"/>
        <v>7</v>
      </c>
      <c r="Q69">
        <f t="shared" si="3"/>
        <v>0</v>
      </c>
    </row>
    <row r="70" spans="2:17" x14ac:dyDescent="0.3">
      <c r="B70" t="s">
        <v>68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O70">
        <v>100</v>
      </c>
      <c r="P70">
        <f t="shared" si="2"/>
        <v>7</v>
      </c>
      <c r="Q70">
        <f t="shared" si="3"/>
        <v>0</v>
      </c>
    </row>
    <row r="71" spans="2:17" x14ac:dyDescent="0.3">
      <c r="B71" t="s">
        <v>69</v>
      </c>
      <c r="C71">
        <v>100</v>
      </c>
      <c r="D71">
        <v>100</v>
      </c>
      <c r="E71">
        <v>81.25</v>
      </c>
      <c r="F71">
        <v>100</v>
      </c>
      <c r="G71">
        <v>100</v>
      </c>
      <c r="H71">
        <v>100</v>
      </c>
      <c r="I71">
        <v>100</v>
      </c>
      <c r="J71">
        <v>100</v>
      </c>
      <c r="O71">
        <v>95.38</v>
      </c>
      <c r="P71">
        <f t="shared" si="2"/>
        <v>6</v>
      </c>
      <c r="Q71">
        <f t="shared" si="3"/>
        <v>1</v>
      </c>
    </row>
    <row r="72" spans="2:17" x14ac:dyDescent="0.3">
      <c r="B72" t="s">
        <v>70</v>
      </c>
      <c r="C72">
        <v>50</v>
      </c>
      <c r="D72">
        <v>100</v>
      </c>
      <c r="E72">
        <v>100</v>
      </c>
      <c r="F72">
        <v>100</v>
      </c>
      <c r="G72">
        <v>60</v>
      </c>
      <c r="H72">
        <v>50</v>
      </c>
      <c r="I72">
        <v>100</v>
      </c>
      <c r="J72">
        <v>100</v>
      </c>
      <c r="O72">
        <v>75</v>
      </c>
      <c r="P72">
        <f t="shared" si="2"/>
        <v>4</v>
      </c>
      <c r="Q72">
        <f t="shared" si="3"/>
        <v>3</v>
      </c>
    </row>
    <row r="73" spans="2:17" x14ac:dyDescent="0.3">
      <c r="B73" t="s">
        <v>71</v>
      </c>
      <c r="C73">
        <v>95.33</v>
      </c>
      <c r="D73">
        <v>96.23</v>
      </c>
      <c r="E73">
        <v>95.45</v>
      </c>
      <c r="F73">
        <v>93.7</v>
      </c>
      <c r="G73">
        <v>98.63</v>
      </c>
      <c r="H73">
        <v>100</v>
      </c>
      <c r="I73">
        <v>96.12</v>
      </c>
      <c r="J73">
        <v>100</v>
      </c>
      <c r="O73">
        <v>96.48</v>
      </c>
      <c r="P73">
        <f t="shared" si="2"/>
        <v>6</v>
      </c>
      <c r="Q73">
        <f t="shared" si="3"/>
        <v>1</v>
      </c>
    </row>
    <row r="74" spans="2:17" x14ac:dyDescent="0.3">
      <c r="B74" t="s">
        <v>72</v>
      </c>
      <c r="C74">
        <v>100</v>
      </c>
      <c r="D74">
        <v>100</v>
      </c>
      <c r="E74">
        <v>93.22</v>
      </c>
      <c r="F74">
        <v>100</v>
      </c>
      <c r="G74">
        <v>98.84</v>
      </c>
      <c r="H74">
        <v>98.36</v>
      </c>
      <c r="I74">
        <v>100</v>
      </c>
      <c r="J74">
        <v>100</v>
      </c>
      <c r="O74">
        <v>98.44</v>
      </c>
      <c r="P74">
        <f t="shared" si="2"/>
        <v>6</v>
      </c>
      <c r="Q74">
        <f t="shared" si="3"/>
        <v>1</v>
      </c>
    </row>
    <row r="75" spans="2:17" x14ac:dyDescent="0.3">
      <c r="B75" t="s">
        <v>73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O75">
        <v>100</v>
      </c>
      <c r="P75">
        <f t="shared" si="2"/>
        <v>7</v>
      </c>
      <c r="Q75">
        <f t="shared" si="3"/>
        <v>0</v>
      </c>
    </row>
    <row r="76" spans="2:17" x14ac:dyDescent="0.3">
      <c r="B76" t="s">
        <v>74</v>
      </c>
      <c r="C76">
        <v>98.18</v>
      </c>
      <c r="D76">
        <v>100</v>
      </c>
      <c r="E76">
        <v>98.08</v>
      </c>
      <c r="F76">
        <v>95</v>
      </c>
      <c r="G76">
        <v>100</v>
      </c>
      <c r="H76">
        <v>100</v>
      </c>
      <c r="I76">
        <v>98.11</v>
      </c>
      <c r="J76">
        <v>100</v>
      </c>
      <c r="O76">
        <v>98.24</v>
      </c>
      <c r="P76">
        <f t="shared" si="2"/>
        <v>7</v>
      </c>
      <c r="Q76">
        <f t="shared" si="3"/>
        <v>0</v>
      </c>
    </row>
    <row r="77" spans="2:17" x14ac:dyDescent="0.3">
      <c r="B77" t="s">
        <v>75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O77">
        <v>100</v>
      </c>
      <c r="P77">
        <f t="shared" si="2"/>
        <v>7</v>
      </c>
      <c r="Q77">
        <f t="shared" si="3"/>
        <v>0</v>
      </c>
    </row>
    <row r="78" spans="2:17" x14ac:dyDescent="0.3">
      <c r="B78" t="s">
        <v>76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O78">
        <v>100</v>
      </c>
      <c r="P78">
        <f t="shared" si="2"/>
        <v>7</v>
      </c>
      <c r="Q78">
        <f t="shared" si="3"/>
        <v>0</v>
      </c>
    </row>
    <row r="79" spans="2:17" x14ac:dyDescent="0.3">
      <c r="B79" t="s">
        <v>77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O79">
        <v>100</v>
      </c>
      <c r="P79">
        <f t="shared" si="2"/>
        <v>7</v>
      </c>
      <c r="Q79">
        <f t="shared" si="3"/>
        <v>0</v>
      </c>
    </row>
    <row r="80" spans="2:17" x14ac:dyDescent="0.3">
      <c r="B80" t="s">
        <v>78</v>
      </c>
      <c r="C80">
        <v>100</v>
      </c>
      <c r="D80">
        <v>100</v>
      </c>
      <c r="E80">
        <v>95.65</v>
      </c>
      <c r="F80">
        <v>100</v>
      </c>
      <c r="G80">
        <v>100</v>
      </c>
      <c r="H80">
        <v>97.83</v>
      </c>
      <c r="I80">
        <v>100</v>
      </c>
      <c r="J80">
        <v>100</v>
      </c>
      <c r="O80">
        <v>98.83</v>
      </c>
      <c r="P80">
        <f t="shared" si="2"/>
        <v>7</v>
      </c>
      <c r="Q80">
        <f t="shared" si="3"/>
        <v>0</v>
      </c>
    </row>
    <row r="81" spans="2:17" x14ac:dyDescent="0.3">
      <c r="B81" t="s">
        <v>79</v>
      </c>
      <c r="C81">
        <v>83.33</v>
      </c>
      <c r="D81">
        <v>100</v>
      </c>
      <c r="E81">
        <v>100</v>
      </c>
      <c r="F81">
        <v>50</v>
      </c>
      <c r="G81">
        <v>100</v>
      </c>
      <c r="H81">
        <v>100</v>
      </c>
      <c r="I81">
        <v>100</v>
      </c>
      <c r="J81">
        <v>100</v>
      </c>
      <c r="O81">
        <v>88.89</v>
      </c>
      <c r="P81">
        <f t="shared" si="2"/>
        <v>5</v>
      </c>
      <c r="Q81">
        <f t="shared" si="3"/>
        <v>2</v>
      </c>
    </row>
    <row r="82" spans="2:17" x14ac:dyDescent="0.3">
      <c r="B82" t="s">
        <v>80</v>
      </c>
      <c r="C82">
        <v>96</v>
      </c>
      <c r="D82">
        <v>100</v>
      </c>
      <c r="E82">
        <v>100</v>
      </c>
      <c r="F82">
        <v>95.24</v>
      </c>
      <c r="G82">
        <v>100</v>
      </c>
      <c r="H82">
        <v>100</v>
      </c>
      <c r="I82">
        <v>93.33</v>
      </c>
      <c r="J82">
        <v>100</v>
      </c>
      <c r="O82">
        <v>97.09</v>
      </c>
      <c r="P82">
        <f t="shared" si="2"/>
        <v>6</v>
      </c>
      <c r="Q82">
        <f t="shared" si="3"/>
        <v>1</v>
      </c>
    </row>
    <row r="83" spans="2:17" x14ac:dyDescent="0.3">
      <c r="B83" t="s">
        <v>81</v>
      </c>
      <c r="C83">
        <v>100</v>
      </c>
      <c r="D83">
        <v>100</v>
      </c>
      <c r="E83">
        <v>33.33</v>
      </c>
      <c r="F83">
        <v>66.67</v>
      </c>
      <c r="G83">
        <v>100</v>
      </c>
      <c r="H83">
        <v>100</v>
      </c>
      <c r="I83">
        <v>100</v>
      </c>
      <c r="J83">
        <v>100</v>
      </c>
      <c r="O83">
        <v>85</v>
      </c>
      <c r="P83">
        <f t="shared" si="2"/>
        <v>5</v>
      </c>
      <c r="Q83">
        <f t="shared" si="3"/>
        <v>2</v>
      </c>
    </row>
    <row r="84" spans="2:17" x14ac:dyDescent="0.3">
      <c r="B84" t="s">
        <v>82</v>
      </c>
      <c r="C84">
        <v>100</v>
      </c>
      <c r="D84">
        <v>100</v>
      </c>
      <c r="E84">
        <v>100</v>
      </c>
      <c r="F84">
        <v>97.14</v>
      </c>
      <c r="G84">
        <v>100</v>
      </c>
      <c r="H84">
        <v>100</v>
      </c>
      <c r="I84">
        <v>100</v>
      </c>
      <c r="J84">
        <v>100</v>
      </c>
      <c r="O84">
        <v>99.38</v>
      </c>
      <c r="P84">
        <f t="shared" si="2"/>
        <v>7</v>
      </c>
      <c r="Q84">
        <f t="shared" si="3"/>
        <v>0</v>
      </c>
    </row>
    <row r="85" spans="2:17" x14ac:dyDescent="0.3">
      <c r="B85" t="s">
        <v>83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O85">
        <v>100</v>
      </c>
      <c r="P85">
        <f t="shared" si="2"/>
        <v>7</v>
      </c>
      <c r="Q85">
        <f t="shared" si="3"/>
        <v>0</v>
      </c>
    </row>
    <row r="86" spans="2:17" x14ac:dyDescent="0.3">
      <c r="B86" t="s">
        <v>84</v>
      </c>
      <c r="C86">
        <v>98.34</v>
      </c>
      <c r="D86">
        <v>98.61</v>
      </c>
      <c r="E86">
        <v>97.91</v>
      </c>
      <c r="F86">
        <v>97.87</v>
      </c>
      <c r="G86">
        <v>96.81</v>
      </c>
      <c r="H86">
        <v>98.67</v>
      </c>
      <c r="I86">
        <v>99.13</v>
      </c>
      <c r="J86">
        <v>100</v>
      </c>
      <c r="O86">
        <v>98.21</v>
      </c>
      <c r="P86">
        <f t="shared" si="2"/>
        <v>7</v>
      </c>
      <c r="Q86">
        <f t="shared" si="3"/>
        <v>0</v>
      </c>
    </row>
    <row r="125" spans="15:15" x14ac:dyDescent="0.3">
      <c r="O125" s="1"/>
    </row>
    <row r="152" spans="15:15" x14ac:dyDescent="0.3">
      <c r="O152" s="1"/>
    </row>
    <row r="174" spans="3:15" x14ac:dyDescent="0.3">
      <c r="C174" s="1"/>
      <c r="D174" s="1"/>
      <c r="E174" s="1"/>
      <c r="F174" s="1"/>
      <c r="G174" s="1"/>
      <c r="H174" s="1"/>
      <c r="I174" s="1"/>
      <c r="O174" s="1"/>
    </row>
    <row r="213" spans="15:15" x14ac:dyDescent="0.3">
      <c r="O213" s="1"/>
    </row>
    <row r="240" spans="15:15" x14ac:dyDescent="0.3">
      <c r="O240" s="1"/>
    </row>
    <row r="262" spans="3:15" x14ac:dyDescent="0.3">
      <c r="C262" s="1"/>
      <c r="D262" s="1"/>
      <c r="E262" s="1"/>
      <c r="F262" s="1"/>
      <c r="G262" s="1"/>
      <c r="H262" s="1"/>
      <c r="I262" s="1"/>
      <c r="O262" s="1"/>
    </row>
  </sheetData>
  <pageMargins left="0.7" right="0.7" top="0.75" bottom="0.75" header="0.3" footer="0.3"/>
  <ignoredErrors>
    <ignoredError sqref="P3 P41:P86 P11:P40 P4:P10 Q3:Q8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6145a9-fcc6-4587-941b-93813040a19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6692FCC656F1D442973089F35DB41CFE" ma:contentTypeVersion="9" ma:contentTypeDescription="Buat sebuah dokumen baru." ma:contentTypeScope="" ma:versionID="232f4f173db3eb4eba6948155619d2a3">
  <xsd:schema xmlns:xsd="http://www.w3.org/2001/XMLSchema" xmlns:xs="http://www.w3.org/2001/XMLSchema" xmlns:p="http://schemas.microsoft.com/office/2006/metadata/properties" xmlns:ns3="166145a9-fcc6-4587-941b-93813040a19c" targetNamespace="http://schemas.microsoft.com/office/2006/metadata/properties" ma:root="true" ma:fieldsID="379afb15da808589e8a22d79f0a301b3" ns3:_="">
    <xsd:import namespace="166145a9-fcc6-4587-941b-93813040a1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145a9-fcc6-4587-941b-93813040a1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8D36EE-F241-4084-905A-1AB77F0AF44D}">
  <ds:schemaRefs>
    <ds:schemaRef ds:uri="166145a9-fcc6-4587-941b-93813040a19c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DE5522E-5877-46B0-9B18-AE0B541E17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6145a9-fcc6-4587-941b-93813040a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8F96D-228B-49BA-B6F9-D50289FEA0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 _AVAILABILITY</vt:lpstr>
      <vt:lpstr>ASSURANCE_GUARANTEE</vt:lpstr>
      <vt:lpstr>TTR_3H_D,V</vt:lpstr>
      <vt:lpstr>TTR_6H_P</vt:lpstr>
      <vt:lpstr>TTR_36H_NON_HVC</vt:lpstr>
      <vt:lpstr>TTR_3H_MANJA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ziyan_nafissalam_x</dc:creator>
  <cp:lastModifiedBy>Khalila Aziza Gunawan</cp:lastModifiedBy>
  <dcterms:created xsi:type="dcterms:W3CDTF">2026-08-03T04:15:07Z</dcterms:created>
  <dcterms:modified xsi:type="dcterms:W3CDTF">2026-08-04T06:00:38Z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0x0101006692FCC656F1D442973089F35DB41CFE</vt:lpwstr>
  </property>
</Properties>
</file>